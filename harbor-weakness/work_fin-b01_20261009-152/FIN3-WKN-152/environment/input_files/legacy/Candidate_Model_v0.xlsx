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Model" sheetId="1" state="visible" r:id="rId1"/>
    <sheet xmlns:r="http://schemas.openxmlformats.org/officeDocument/2006/relationships" name="Broken_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56" customWidth="1" min="3" max="3"/>
    <col width="12" customWidth="1" min="4" max="4"/>
  </cols>
  <sheetData>
    <row r="1">
      <c r="A1" s="1" t="inlineStr">
        <is>
          <t>Workstream</t>
        </is>
      </c>
      <c r="B1" s="1" t="inlineStr">
        <is>
          <t>Legacy treatment</t>
        </is>
      </c>
      <c r="C1" s="1" t="inlineStr">
        <is>
          <t>Review point</t>
        </is>
      </c>
      <c r="D1" s="1" t="inlineStr">
        <is>
          <t>Status</t>
        </is>
      </c>
    </row>
    <row r="2">
      <c r="A2" s="2" t="inlineStr">
        <is>
          <t>Profitability</t>
        </is>
      </c>
      <c r="B2" s="2" t="inlineStr">
        <is>
          <t>Uses management Adjusted EBITDA -69.275</t>
        </is>
      </c>
      <c r="C2" s="2" t="inlineStr">
        <is>
          <t>SBC addback needs underwriting adjustment</t>
        </is>
      </c>
      <c r="D2" s="2" t="inlineStr">
        <is>
          <t>Review</t>
        </is>
      </c>
    </row>
    <row r="3">
      <c r="A3" s="2" t="inlineStr">
        <is>
          <t>Valuation</t>
        </is>
      </c>
      <c r="B3" s="2" t="inlineStr">
        <is>
          <t>Applies 4.5x directly to 2023 revenue</t>
        </is>
      </c>
      <c r="C3" s="2" t="inlineStr">
        <is>
          <t>Update denominator to 2024E and apply IPO discount</t>
        </is>
      </c>
      <c r="D3" s="2" t="inlineStr">
        <is>
          <t>Review</t>
        </is>
      </c>
    </row>
    <row r="4">
      <c r="A4" s="2" t="inlineStr">
        <is>
          <t>Cash</t>
        </is>
      </c>
      <c r="B4" s="2" t="inlineStr">
        <is>
          <t>Excludes marketable securities</t>
        </is>
      </c>
      <c r="C4" s="2" t="inlineStr">
        <is>
          <t>Net cash bridge is incomplete</t>
        </is>
      </c>
      <c r="D4" s="2" t="inlineStr">
        <is>
          <t>Review</t>
        </is>
      </c>
    </row>
    <row r="5">
      <c r="A5" s="2" t="inlineStr">
        <is>
          <t>Primary/Secondary</t>
        </is>
      </c>
      <c r="B5" s="2" t="inlineStr">
        <is>
          <t>Treats all 22.0m base shares as primary</t>
        </is>
      </c>
      <c r="C5" s="2" t="inlineStr">
        <is>
          <t>Company proceeds are overstated</t>
        </is>
      </c>
      <c r="D5" s="2" t="inlineStr">
        <is>
          <t>Review</t>
        </is>
      </c>
    </row>
    <row r="6">
      <c r="A6" s="2" t="inlineStr">
        <is>
          <t>Greenshoe</t>
        </is>
      </c>
      <c r="B6" s="2" t="inlineStr">
        <is>
          <t>Includes 3.3m shares in Base</t>
        </is>
      </c>
      <c r="C6" s="2" t="inlineStr">
        <is>
          <t>Option should be separated from Base</t>
        </is>
      </c>
      <c r="D6" s="2" t="inlineStr">
        <is>
          <t>Review</t>
        </is>
      </c>
    </row>
    <row r="7">
      <c r="A7" s="2" t="inlineStr">
        <is>
          <t>Underwriting fee</t>
        </is>
      </c>
      <c r="B7" s="2" t="inlineStr">
        <is>
          <t>Applies fee to primary + secondary</t>
        </is>
      </c>
      <c r="C7" s="2" t="inlineStr">
        <is>
          <t>Fee base does not match company economics</t>
        </is>
      </c>
      <c r="D7" s="2" t="inlineStr">
        <is>
          <t>Review</t>
        </is>
      </c>
    </row>
    <row r="8">
      <c r="A8" s="2" t="inlineStr">
        <is>
          <t>Post-money shares</t>
        </is>
      </c>
      <c r="B8" s="2" t="inlineStr">
        <is>
          <t>Adds secondary shares to share count</t>
        </is>
      </c>
      <c r="C8" s="2" t="inlineStr">
        <is>
          <t>Secondary is a transfer, not a new issuance</t>
        </is>
      </c>
      <c r="D8" s="2" t="inlineStr">
        <is>
          <t>Review</t>
        </is>
      </c>
    </row>
    <row r="9">
      <c r="A9" s="2" t="inlineStr">
        <is>
          <t>Proceeds</t>
        </is>
      </c>
      <c r="B9" s="2" t="inlineStr">
        <is>
          <t>Adds secondary proceeds to company cash</t>
        </is>
      </c>
      <c r="C9" s="2" t="inlineStr">
        <is>
          <t>Wrong beneficiary</t>
        </is>
      </c>
      <c r="D9" s="2" t="inlineStr">
        <is>
          <t>Review</t>
        </is>
      </c>
    </row>
    <row r="10">
      <c r="A10" s="2" t="inlineStr">
        <is>
          <t>Dilution</t>
        </is>
      </c>
      <c r="B10" s="2" t="inlineStr">
        <is>
          <t>Uses post-money equity / pre-money shares</t>
        </is>
      </c>
      <c r="C10" s="2" t="inlineStr">
        <is>
          <t>Numerator and denominator are inconsistent</t>
        </is>
      </c>
      <c r="D10" s="2" t="inlineStr">
        <is>
          <t>Review</t>
        </is>
      </c>
    </row>
    <row r="11">
      <c r="A11" s="2" t="inlineStr">
        <is>
          <t>Recommendation</t>
        </is>
      </c>
      <c r="B11" s="2" t="inlineStr">
        <is>
          <t>Moves above $34 based mainly on the peer high case</t>
        </is>
      </c>
      <c r="C11" s="2" t="inlineStr">
        <is>
          <t>Does not reflect Committee pricing guardrails or QoE</t>
        </is>
      </c>
      <c r="D11" s="2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</cols>
  <sheetData>
    <row r="1">
      <c r="A1" s="1" t="inlineStr">
        <is>
          <t>Cell</t>
        </is>
      </c>
      <c r="B1" s="1" t="inlineStr">
        <is>
          <t>Formula</t>
        </is>
      </c>
      <c r="C1" s="1" t="inlineStr">
        <is>
          <t>Value</t>
        </is>
      </c>
    </row>
    <row r="2">
      <c r="A2" s="2" t="inlineStr">
        <is>
          <t>Valuation!C7</t>
        </is>
      </c>
      <c r="B2" s="2">
        <f>#REF!*D7</f>
        <v/>
      </c>
      <c r="C2" s="2" t="e">
        <v>#REF!</v>
      </c>
    </row>
    <row r="3">
      <c r="A3" s="2" t="inlineStr">
        <is>
          <t>QoE!D9</t>
        </is>
      </c>
      <c r="B3" s="2">
        <f>#REF!+D8</f>
        <v/>
      </c>
      <c r="C3" s="2" t="e">
        <v>#REF!</v>
      </c>
    </row>
    <row r="4">
      <c r="A4" s="2" t="inlineStr">
        <is>
          <t>Offering!C12</t>
        </is>
      </c>
      <c r="B4" s="2">
        <f>#REF!-$D$4</f>
        <v/>
      </c>
      <c r="C4" s="2" t="e"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2026-10-09T16:01:58Z</dcterms:created>
  <dcterms:modified xmlns:dcterms="http://purl.org/dc/terms/" xmlns:xsi="http://www.w3.org/2001/XMLSchema-instance" xsi:type="dcterms:W3CDTF">2026-10-09T16:01:58Z</dcterms:modified>
</cp:coreProperties>
</file>