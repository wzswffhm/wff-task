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QoE" sheetId="2" state="visible" r:id="rId4"/>
    <sheet name="Valuation" sheetId="3" state="visible" r:id="rId5"/>
    <sheet name="Sensitivity" sheetId="4" state="visible" r:id="rId6"/>
    <sheet name="Offering_Proceeds" sheetId="5" state="visible" r:id="rId7"/>
    <sheet name="Dilution" sheetId="6" state="visible" r:id="rId8"/>
    <sheet name="Pricing_Summary" sheetId="7" state="visible" r:id="rId9"/>
    <sheet name="Error_Audit" sheetId="8" state="visible" r:id="rId10"/>
    <sheet name="Source_Trace" sheetId="9" state="visible" r:id="rId11"/>
    <sheet name="Tieout_Detail" sheetId="10" state="visible" r:id="rId12"/>
    <sheet name="Methodology" sheetId="11" state="visible" r:id="rId13"/>
  </sheets>
  <definedNames>
    <definedName function="false" hidden="true" localSheetId="5" name="_xlnm._FilterDatabase" vbProcedure="false">Dilution!$A$4:$E$15</definedName>
    <definedName function="false" hidden="true" localSheetId="7" name="_xlnm._FilterDatabase" vbProcedure="false">Error_Audit!$A$4:$H$26</definedName>
    <definedName function="false" hidden="true" localSheetId="0" name="_xlnm._FilterDatabase" vbProcedure="false">Inputs!$A$4:$G$32</definedName>
    <definedName function="false" hidden="true" localSheetId="10" name="_xlnm._FilterDatabase" vbProcedure="false">Methodology!$A$4:$E$38</definedName>
    <definedName function="false" hidden="true" localSheetId="4" name="_xlnm._FilterDatabase" vbProcedure="false">Offering_Proceeds!$A$4:$E$15</definedName>
    <definedName function="false" hidden="true" localSheetId="6" name="_xlnm._FilterDatabase" vbProcedure="false">Pricing_Summary!$A$4:$E$15</definedName>
    <definedName function="false" hidden="true" localSheetId="1" name="_xlnm._FilterDatabase" vbProcedure="false">QoE!$A$4:$G$9</definedName>
    <definedName function="false" hidden="true" localSheetId="3" name="_xlnm._FilterDatabase" vbProcedure="false">Sensitivity!$A$4:$G$15</definedName>
    <definedName function="false" hidden="true" localSheetId="8" name="_xlnm._FilterDatabase" vbProcedure="false">Source_Trace!$A$4:$J$28</definedName>
    <definedName function="false" hidden="true" localSheetId="9" name="_xlnm._FilterDatabase" vbProcedure="false">Tieout_Detail!$A$4:$I$31</definedName>
    <definedName function="false" hidden="true" localSheetId="2" name="_xlnm._FilterDatabase" vbProcedure="false">Valuation!$A$4:$E$16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<sst xmlns="http://schemas.openxmlformats.org/spreadsheetml/2006/main" count="1158" uniqueCount="686">
  <si>
    <t xml:space="preserve">Reddit IPO Pricing Review — Inputs</t>
  </si>
  <si>
    <t xml:space="preserve">Blue = imported source input; green elsewhere = formula. USD mm / mm shares unless noted.</t>
  </si>
  <si>
    <t xml:space="preserve">Key</t>
  </si>
  <si>
    <t xml:space="preserve">Value</t>
  </si>
  <si>
    <t xml:space="preserve">Unit</t>
  </si>
  <si>
    <t xml:space="preserve">Fact type</t>
  </si>
  <si>
    <t xml:space="preserve">Policy</t>
  </si>
  <si>
    <t xml:space="preserve">Source path / cell</t>
  </si>
  <si>
    <t xml:space="preserve">Notes</t>
  </si>
  <si>
    <t xml:space="preserve">Revenue_2022A</t>
  </si>
  <si>
    <t xml:space="preserve">USD mm</t>
  </si>
  <si>
    <t xml:space="preserve">SEC public fact</t>
  </si>
  <si>
    <t xml:space="preserve">CP-02</t>
  </si>
  <si>
    <t xml:space="preserve">/app/input_files/sec_filings/SEC-01_financials_extract.xlsx::'Public_Financials'!B2</t>
  </si>
  <si>
    <t xml:space="preserve">Authoritative FY2022 tie-out target</t>
  </si>
  <si>
    <t xml:space="preserve">Revenue_2023A</t>
  </si>
  <si>
    <t xml:space="preserve">CP-02/06</t>
  </si>
  <si>
    <t xml:space="preserve">/app/input_files/sec_filings/SEC-01_financials_extract.xlsx::'Public_Financials'!C2</t>
  </si>
  <si>
    <t xml:space="preserve">Audited historical revenue</t>
  </si>
  <si>
    <t xml:space="preserve">Growth_2024E</t>
  </si>
  <si>
    <t xml:space="preserve">%</t>
  </si>
  <si>
    <t xml:space="preserve">Internal committee assumption</t>
  </si>
  <si>
    <t xml:space="preserve">CP-06</t>
  </si>
  <si>
    <t xml:space="preserve">/app/input_files/committee/Underwriting_Assumptions_20240320.xlsx::'Assumptions'!B2</t>
  </si>
  <si>
    <t xml:space="preserve">Not an SEC fact</t>
  </si>
  <si>
    <t xml:space="preserve">Mgmt_Adj_EBITDA</t>
  </si>
  <si>
    <t xml:space="preserve">SEC-disclosed management non-GAAP</t>
  </si>
  <si>
    <t xml:space="preserve">CP-03</t>
  </si>
  <si>
    <t xml:space="preserve">/app/input_files/sec_filings/SEC-01_financials_extract.xlsx::'Public_Financials'!C6</t>
  </si>
  <si>
    <t xml:space="preserve">Starting point</t>
  </si>
  <si>
    <t xml:space="preserve">SBC</t>
  </si>
  <si>
    <t xml:space="preserve">/app/input_files/sec_filings/SEC-01_financials_extract.xlsx::'Public_Financials'!C7</t>
  </si>
  <si>
    <t xml:space="preserve">Recurring economic cost</t>
  </si>
  <si>
    <t xml:space="preserve">Restructuring</t>
  </si>
  <si>
    <t xml:space="preserve">CP-04</t>
  </si>
  <si>
    <t xml:space="preserve">/app/input_files/sec_filings/SEC-01_financials_extract.xlsx::'Public_Financials'!C8</t>
  </si>
  <si>
    <t xml:space="preserve">Already adjusted by management</t>
  </si>
  <si>
    <t xml:space="preserve">FCF</t>
  </si>
  <si>
    <t xml:space="preserve">CP-13</t>
  </si>
  <si>
    <t xml:space="preserve">/app/input_files/sec_filings/SEC-01_financials_extract.xlsx::'Public_Financials'!C10</t>
  </si>
  <si>
    <t xml:space="preserve">Negative risk indicator</t>
  </si>
  <si>
    <t xml:space="preserve">Cash</t>
  </si>
  <si>
    <t xml:space="preserve">CP-08</t>
  </si>
  <si>
    <t xml:space="preserve">/app/input_files/sec_filings/SEC-01_financials_extract.xlsx::'Public_Financials'!C11</t>
  </si>
  <si>
    <t xml:space="preserve">Net cash bridge</t>
  </si>
  <si>
    <t xml:space="preserve">Marketable_Securities</t>
  </si>
  <si>
    <t xml:space="preserve">/app/input_files/sec_filings/SEC-01_financials_extract.xlsx::'Public_Financials'!C12</t>
  </si>
  <si>
    <t xml:space="preserve">Included in equity bridge</t>
  </si>
  <si>
    <t xml:space="preserve">Economic_Shares</t>
  </si>
  <si>
    <t xml:space="preserve">mm shares</t>
  </si>
  <si>
    <t xml:space="preserve">/app/input_files/committee/Offering_Terms_20240320.xlsx::'Offering_Terms'!B6</t>
  </si>
  <si>
    <t xml:space="preserve">SEC-09 components sum to same amount</t>
  </si>
  <si>
    <t xml:space="preserve">Multiple_Low</t>
  </si>
  <si>
    <t xml:space="preserve">x</t>
  </si>
  <si>
    <t xml:space="preserve">CP-07</t>
  </si>
  <si>
    <t xml:space="preserve">/app/input_files/committee/Underwriting_Assumptions_20240320.xlsx::'Assumptions'!B3</t>
  </si>
  <si>
    <t xml:space="preserve">Committee peer set</t>
  </si>
  <si>
    <t xml:space="preserve">Multiple_Mid</t>
  </si>
  <si>
    <t xml:space="preserve">/app/input_files/committee/Underwriting_Assumptions_20240320.xlsx::'Assumptions'!B4</t>
  </si>
  <si>
    <t xml:space="preserve">Multiple_High</t>
  </si>
  <si>
    <t xml:space="preserve">/app/input_files/committee/Underwriting_Assumptions_20240320.xlsx::'Assumptions'!B5</t>
  </si>
  <si>
    <t xml:space="preserve">IPO_Discount</t>
  </si>
  <si>
    <t xml:space="preserve">CP-09</t>
  </si>
  <si>
    <t xml:space="preserve">/app/input_files/committee/Underwriting_Assumptions_20240320.xlsx::'Assumptions'!B6</t>
  </si>
  <si>
    <t xml:space="preserve">Applied after equity/share</t>
  </si>
  <si>
    <t xml:space="preserve">Working_Price</t>
  </si>
  <si>
    <t xml:space="preserve">USD/share</t>
  </si>
  <si>
    <t xml:space="preserve">CP-14</t>
  </si>
  <si>
    <t xml:space="preserve">/app/input_files/committee/Offering_Terms_20240320.xlsx::'Offering_Terms'!B2</t>
  </si>
  <si>
    <t xml:space="preserve">Not a final pricing result</t>
  </si>
  <si>
    <t xml:space="preserve">Primary_Base</t>
  </si>
  <si>
    <t xml:space="preserve">Internal committee term consistent with SEC</t>
  </si>
  <si>
    <t xml:space="preserve">CP-10</t>
  </si>
  <si>
    <t xml:space="preserve">/app/input_files/committee/Offering_Terms_20240320.xlsx::'Offering_Terms'!B3</t>
  </si>
  <si>
    <t xml:space="preserve">New shares/company proceeds</t>
  </si>
  <si>
    <t xml:space="preserve">Primary_Full</t>
  </si>
  <si>
    <t xml:space="preserve">CP-10/11</t>
  </si>
  <si>
    <t xml:space="preserve">/app/input_files/committee/Offering_Terms_20240320.xlsx::'Offering_Terms'!C3</t>
  </si>
  <si>
    <t xml:space="preserve">Must equal Base primary plus greenshoe</t>
  </si>
  <si>
    <t xml:space="preserve">Secondary_Base</t>
  </si>
  <si>
    <t xml:space="preserve">/app/input_files/committee/Offering_Terms_20240320.xlsx::'Offering_Terms'!B4</t>
  </si>
  <si>
    <t xml:space="preserve">No company proceeds; no new shares</t>
  </si>
  <si>
    <t xml:space="preserve">Greenshoe_Base</t>
  </si>
  <si>
    <t xml:space="preserve">Internal committee term</t>
  </si>
  <si>
    <t xml:space="preserve">CP-11</t>
  </si>
  <si>
    <t xml:space="preserve">/app/input_files/committee/Offering_Terms_20240320.xlsx::'Offering_Terms'!B5</t>
  </si>
  <si>
    <t xml:space="preserve">Must be zero in Base</t>
  </si>
  <si>
    <t xml:space="preserve">Greenshoe</t>
  </si>
  <si>
    <t xml:space="preserve">/app/input_files/committee/Offering_Terms_20240320.xlsx::'Offering_Terms'!C5</t>
  </si>
  <si>
    <t xml:space="preserve">Excluded from Base</t>
  </si>
  <si>
    <t xml:space="preserve">SEC_Primary_Base</t>
  </si>
  <si>
    <t xml:space="preserve">/app/input_files/sec_filings/SEC-03_offering_terms.xlsx::'Offering_Terms'!B2</t>
  </si>
  <si>
    <t xml:space="preserve">Authority cross-check for committee term</t>
  </si>
  <si>
    <t xml:space="preserve">SEC_Secondary_Base</t>
  </si>
  <si>
    <t xml:space="preserve">/app/input_files/sec_filings/SEC-03_offering_terms.xlsx::'Offering_Terms'!B3</t>
  </si>
  <si>
    <t xml:space="preserve">SEC_Greenshoe</t>
  </si>
  <si>
    <t xml:space="preserve">/app/input_files/sec_filings/SEC-03_offering_terms.xlsx::'Offering_Terms'!B4</t>
  </si>
  <si>
    <t xml:space="preserve">Fee_Rate</t>
  </si>
  <si>
    <t xml:space="preserve">% primary gross</t>
  </si>
  <si>
    <t xml:space="preserve">CP-12</t>
  </si>
  <si>
    <t xml:space="preserve">/app/input_files/committee/Offering_Terms_20240320.xlsx::'Offering_Terms'!B9</t>
  </si>
  <si>
    <t xml:space="preserve">Company primary only</t>
  </si>
  <si>
    <t xml:space="preserve">Fixed_Expense</t>
  </si>
  <si>
    <t xml:space="preserve">/app/input_files/committee/Offering_Terms_20240320.xlsx::'Offering_Terms'!B10</t>
  </si>
  <si>
    <t xml:space="preserve">Once in Base/full</t>
  </si>
  <si>
    <t xml:space="preserve">SEC02_Assumed_Price</t>
  </si>
  <si>
    <t xml:space="preserve">SEC public cross-check</t>
  </si>
  <si>
    <t xml:space="preserve">Boundary</t>
  </si>
  <si>
    <t xml:space="preserve">/app/input_files/sec_filings/SEC-02_dilution_crosscheck.xlsx::'Dilution_Crosscheck'!D2</t>
  </si>
  <si>
    <t xml:space="preserve">Do not extrapolate to working price</t>
  </si>
  <si>
    <t xml:space="preserve">SEC02_NTBV</t>
  </si>
  <si>
    <t xml:space="preserve">/app/input_files/sec_filings/SEC-02_dilution_crosscheck.xlsx::'Dilution_Crosscheck'!B2</t>
  </si>
  <si>
    <t xml:space="preserve">Only at assumed filing price</t>
  </si>
  <si>
    <t xml:space="preserve">SEC02_Dilution</t>
  </si>
  <si>
    <t xml:space="preserve">/app/input_files/sec_filings/SEC-02_dilution_crosscheck.xlsx::'Dilution_Crosscheck'!B3</t>
  </si>
  <si>
    <t xml:space="preserve">Only verifies assumed price less NTBV</t>
  </si>
  <si>
    <t xml:space="preserve">Quality of Earnings Bridge</t>
  </si>
  <si>
    <t xml:space="preserve">Management non-GAAP to underwriting EBITDA; restructuring is not double-counted.</t>
  </si>
  <si>
    <t xml:space="preserve">Line</t>
  </si>
  <si>
    <t xml:space="preserve">Amount</t>
  </si>
  <si>
    <t xml:space="preserve">Formula / treatment</t>
  </si>
  <si>
    <t xml:space="preserve">Source</t>
  </si>
  <si>
    <t xml:space="preserve">Risk / note</t>
  </si>
  <si>
    <t xml:space="preserve">Management Adjusted EBITDA</t>
  </si>
  <si>
    <t xml:space="preserve">Management-defined; not audited non-GAAP</t>
  </si>
  <si>
    <t xml:space="preserve">Less: SBC addback reversed</t>
  </si>
  <si>
    <t xml:space="preserve">SBC is recurring economic cost</t>
  </si>
  <si>
    <t xml:space="preserve">Detail TOTAL mismatch is audited separately</t>
  </si>
  <si>
    <t xml:space="preserve">Restructuring incremental adjustment</t>
  </si>
  <si>
    <t xml:space="preserve">8.098 already in management adjustments</t>
  </si>
  <si>
    <t xml:space="preserve">/app/input_files/committee/Committee_Policy_v3_20240320.xlsx::'Committee_Policy'!C5</t>
  </si>
  <si>
    <t xml:space="preserve">Do not add back twice</t>
  </si>
  <si>
    <t xml:space="preserve">Underwriting EBITDA</t>
  </si>
  <si>
    <t xml:space="preserve">Management EBITDA − SBC + zero incremental restructuring</t>
  </si>
  <si>
    <t xml:space="preserve">CP-03/04</t>
  </si>
  <si>
    <t xml:space="preserve">Calculated</t>
  </si>
  <si>
    <t xml:space="preserve">Negative; EV/EBITDA not used</t>
  </si>
  <si>
    <t xml:space="preserve">Free Cash Flow</t>
  </si>
  <si>
    <t xml:space="preserve">SEC definition: operating cash flow less capex</t>
  </si>
  <si>
    <t xml:space="preserve">Negative; explicit pricing risk</t>
  </si>
  <si>
    <t xml:space="preserve">EV / 2024E Revenue Valuation</t>
  </si>
  <si>
    <t xml:space="preserve">Underwriting EBITDA is negative, so CP-05 requires EV/2024E Revenue. Discount is applied to equity value/share.</t>
  </si>
  <si>
    <t xml:space="preserve">Step</t>
  </si>
  <si>
    <t xml:space="preserve">Low</t>
  </si>
  <si>
    <t xml:space="preserve">Mid</t>
  </si>
  <si>
    <t xml:space="preserve">High</t>
  </si>
  <si>
    <t xml:space="preserve">Unit / formula</t>
  </si>
  <si>
    <t xml:space="preserve">2023A Revenue</t>
  </si>
  <si>
    <t xml:space="preserve">2024E Growth</t>
  </si>
  <si>
    <t xml:space="preserve">Internal assumption</t>
  </si>
  <si>
    <t xml:space="preserve">2024E Revenue</t>
  </si>
  <si>
    <t xml:space="preserve">2023A × (1 + growth)</t>
  </si>
  <si>
    <t xml:space="preserve">EV / Revenue</t>
  </si>
  <si>
    <t xml:space="preserve">Committee multiples</t>
  </si>
  <si>
    <t xml:space="preserve">Enterprise Value</t>
  </si>
  <si>
    <t xml:space="preserve">2024E revenue × multiple</t>
  </si>
  <si>
    <t xml:space="preserve">Add: Cash</t>
  </si>
  <si>
    <t xml:space="preserve">Add: Marketable Securities</t>
  </si>
  <si>
    <t xml:space="preserve">Pre-money Equity Value</t>
  </si>
  <si>
    <t xml:space="preserve">EV + cash + securities</t>
  </si>
  <si>
    <t xml:space="preserve">Economic Shares</t>
  </si>
  <si>
    <t xml:space="preserve">Undiscounted Equity / Share</t>
  </si>
  <si>
    <t xml:space="preserve">Equity ÷ shares</t>
  </si>
  <si>
    <t xml:space="preserve">IPO Execution Discount</t>
  </si>
  <si>
    <t xml:space="preserve">Discounted Value / Share</t>
  </si>
  <si>
    <t xml:space="preserve">Undiscounted/share × (1 − discount)</t>
  </si>
  <si>
    <t xml:space="preserve">Single-Point Pricing Sensitivity</t>
  </si>
  <si>
    <t xml:space="preserve">Each cell independently varies growth and multiple; all other inputs remain unchanged. Base = 22% × 4.5x.</t>
  </si>
  <si>
    <t xml:space="preserve">Growth / Multiple</t>
  </si>
  <si>
    <t xml:space="preserve">Row note</t>
  </si>
  <si>
    <t xml:space="preserve">Single-point</t>
  </si>
  <si>
    <t xml:space="preserve">Base growth</t>
  </si>
  <si>
    <t xml:space="preserve">Scenario</t>
  </si>
  <si>
    <t xml:space="preserve">Growth</t>
  </si>
  <si>
    <t xml:space="preserve">Multiple</t>
  </si>
  <si>
    <t xml:space="preserve">Value/share</t>
  </si>
  <si>
    <t xml:space="preserve">Role</t>
  </si>
  <si>
    <t xml:space="preserve">Note</t>
  </si>
  <si>
    <t xml:space="preserve">Range endpoint</t>
  </si>
  <si>
    <t xml:space="preserve">CP-07/09</t>
  </si>
  <si>
    <t xml:space="preserve">Committee support range</t>
  </si>
  <si>
    <t xml:space="preserve">Base</t>
  </si>
  <si>
    <t xml:space="preserve">Offering Structure and Company Proceeds</t>
  </si>
  <si>
    <t xml:space="preserve">Base excludes greenshoe. Secondary produces no company proceeds and no new company shares.</t>
  </si>
  <si>
    <t xml:space="preserve">Full Greenshoe</t>
  </si>
  <si>
    <t xml:space="preserve">Formula / policy</t>
  </si>
  <si>
    <t xml:space="preserve">Working price</t>
  </si>
  <si>
    <t xml:space="preserve">Internal decision input</t>
  </si>
  <si>
    <t xml:space="preserve">Primary shares</t>
  </si>
  <si>
    <t xml:space="preserve">Secondary shares</t>
  </si>
  <si>
    <t xml:space="preserve">No company proceeds</t>
  </si>
  <si>
    <t xml:space="preserve">Greenshoe shares</t>
  </si>
  <si>
    <t xml:space="preserve">Base excluded; full exercised</t>
  </si>
  <si>
    <t xml:space="preserve">Total shares sold</t>
  </si>
  <si>
    <t xml:space="preserve">Primary + secondary; shoe already in full primary</t>
  </si>
  <si>
    <t xml:space="preserve">Company gross proceeds</t>
  </si>
  <si>
    <t xml:space="preserve">Price × primary only</t>
  </si>
  <si>
    <t xml:space="preserve">Underwriting fee rate</t>
  </si>
  <si>
    <t xml:space="preserve">Underwriting fee</t>
  </si>
  <si>
    <t xml:space="preserve">Company primary gross × fee rate</t>
  </si>
  <si>
    <t xml:space="preserve">Fixed company expenses</t>
  </si>
  <si>
    <t xml:space="preserve">Once; not repeated for shoe</t>
  </si>
  <si>
    <t xml:space="preserve">Net company proceeds</t>
  </si>
  <si>
    <t xml:space="preserve">Gross − fee − fixed</t>
  </si>
  <si>
    <t xml:space="preserve">Secondary proceeds to company</t>
  </si>
  <si>
    <t xml:space="preserve">CP-10 / SEC-12</t>
  </si>
  <si>
    <t xml:space="preserve">Share Count Bridge and Dilution</t>
  </si>
  <si>
    <t xml:space="preserve">New-share percentages are clearly labeled. SEC-02 is only a $32.50 cross-check and is not extrapolated to $34.</t>
  </si>
  <si>
    <t xml:space="preserve">Formula / boundary</t>
  </si>
  <si>
    <t xml:space="preserve">Pre-money economic shares</t>
  </si>
  <si>
    <t xml:space="preserve">Committee economic denominator</t>
  </si>
  <si>
    <t xml:space="preserve">New primary shares</t>
  </si>
  <si>
    <t xml:space="preserve">Secondary excluded</t>
  </si>
  <si>
    <t xml:space="preserve">Secondary incremental shares</t>
  </si>
  <si>
    <t xml:space="preserve">Transfer only</t>
  </si>
  <si>
    <t xml:space="preserve">Post-money shares</t>
  </si>
  <si>
    <t xml:space="preserve">Pre-money + new primary</t>
  </si>
  <si>
    <t xml:space="preserve">New primary / post-money</t>
  </si>
  <si>
    <t xml:space="preserve">Primary ÷ post-money</t>
  </si>
  <si>
    <t xml:space="preserve">New primary / pre-money</t>
  </si>
  <si>
    <t xml:space="preserve">Additional disclosure; not post-money dilution</t>
  </si>
  <si>
    <t xml:space="preserve">SEC-02 assumed price</t>
  </si>
  <si>
    <t xml:space="preserve">—</t>
  </si>
  <si>
    <t xml:space="preserve">Cross-check only</t>
  </si>
  <si>
    <t xml:space="preserve">SEC-02 preliminary NTBV/share</t>
  </si>
  <si>
    <t xml:space="preserve">At assumed price only</t>
  </si>
  <si>
    <t xml:space="preserve">SEC-02 immediate dilution</t>
  </si>
  <si>
    <t xml:space="preserve">Assumed price − NTBV/share</t>
  </si>
  <si>
    <t xml:space="preserve">SEC-02 reported dilution</t>
  </si>
  <si>
    <t xml:space="preserve">Tie-out; no $34 NTBV extrapolation</t>
  </si>
  <si>
    <t xml:space="preserve">SEC-02 tie-out difference</t>
  </si>
  <si>
    <t xml:space="preserve">Must be zero</t>
  </si>
  <si>
    <t xml:space="preserve">Pricing Committee Summary</t>
  </si>
  <si>
    <t xml:space="preserve">Rule: within support range, within $0.50 of midpoint, and no unresolved hard structural error.</t>
  </si>
  <si>
    <t xml:space="preserve">Metric / test</t>
  </si>
  <si>
    <t xml:space="preserve">Result</t>
  </si>
  <si>
    <t xml:space="preserve">Support range — low</t>
  </si>
  <si>
    <t xml:space="preserve">Support range — midpoint</t>
  </si>
  <si>
    <t xml:space="preserve">Reference</t>
  </si>
  <si>
    <t xml:space="preserve">Support range — high</t>
  </si>
  <si>
    <t xml:space="preserve">Proposed working price</t>
  </si>
  <si>
    <t xml:space="preserve">Decision input</t>
  </si>
  <si>
    <t xml:space="preserve">Not a final result</t>
  </si>
  <si>
    <t xml:space="preserve">Signed price − midpoint</t>
  </si>
  <si>
    <t xml:space="preserve">Negative = below midpoint</t>
  </si>
  <si>
    <t xml:space="preserve">Working price − midpoint</t>
  </si>
  <si>
    <t xml:space="preserve">Absolute distance to midpoint</t>
  </si>
  <si>
    <t xml:space="preserve">Threshold ≤ $0.50</t>
  </si>
  <si>
    <t xml:space="preserve">Test 1: within support range</t>
  </si>
  <si>
    <t xml:space="preserve">Boolean</t>
  </si>
  <si>
    <t xml:space="preserve">Required</t>
  </si>
  <si>
    <t xml:space="preserve">Test 2: midpoint distance ≤ $0.50</t>
  </si>
  <si>
    <t xml:space="preserve">Test 3: no unresolved hard structural error</t>
  </si>
  <si>
    <t xml:space="preserve">Linked to named Methodology structure checks; governance exceptions are separately flagged</t>
  </si>
  <si>
    <t xml:space="preserve">Committee disposition</t>
  </si>
  <si>
    <t xml:space="preserve">Decision</t>
  </si>
  <si>
    <t xml:space="preserve">Proceed</t>
  </si>
  <si>
    <t xml:space="preserve">CP-14/15; references all three tests</t>
  </si>
  <si>
    <t xml:space="preserve">QoE risk</t>
  </si>
  <si>
    <t xml:space="preserve">Underwriting EBITDA and FCF are negative</t>
  </si>
  <si>
    <t xml:space="preserve">Text</t>
  </si>
  <si>
    <t xml:space="preserve">Disclose</t>
  </si>
  <si>
    <t xml:space="preserve">Legacy and Data Error Audit</t>
  </si>
  <si>
    <t xml:space="preserve">Each legacy treatment and identified detail exception is separately logged with correction, quantified impact, basis, and source.</t>
  </si>
  <si>
    <t xml:space="preserve">Category</t>
  </si>
  <si>
    <t xml:space="preserve">Issue</t>
  </si>
  <si>
    <t xml:space="preserve">Legacy / observed treatment</t>
  </si>
  <si>
    <t xml:space="preserve">Correct treatment</t>
  </si>
  <si>
    <t xml:space="preserve">Quantified impact</t>
  </si>
  <si>
    <t xml:space="preserve">Basis</t>
  </si>
  <si>
    <t xml:space="preserve">Legacy model</t>
  </si>
  <si>
    <t xml:space="preserve">Management EBITDA did not reverse SBC</t>
  </si>
  <si>
    <t xml:space="preserve">Retained -69.275</t>
  </si>
  <si>
    <t xml:space="preserve">Deduct recurring SBC addback</t>
  </si>
  <si>
    <t xml:space="preserve">USD mm EBITDA overstatement</t>
  </si>
  <si>
    <t xml:space="preserve">/app/input_files/legacy/Candidate_Model_v0.xlsx</t>
  </si>
  <si>
    <t xml:space="preserve">Used 2023A valuation denominator</t>
  </si>
  <si>
    <t xml:space="preserve">Applied multiple to historical revenue</t>
  </si>
  <si>
    <t xml:space="preserve">Use 2024E revenue</t>
  </si>
  <si>
    <t xml:space="preserve">USD/share understatement at midpoint</t>
  </si>
  <si>
    <t xml:space="preserve">CP-05/06</t>
  </si>
  <si>
    <t xml:space="preserve">Applied 0% discount</t>
  </si>
  <si>
    <t xml:space="preserve">No execution discount</t>
  </si>
  <si>
    <t xml:space="preserve">Apply v3 discount to equity/share</t>
  </si>
  <si>
    <t xml:space="preserve">USD/share overstatement</t>
  </si>
  <si>
    <t xml:space="preserve">/app/input_files/legacy/legacy_assumptions_export.csv</t>
  </si>
  <si>
    <t xml:space="preserve">Omitted marketable securities</t>
  </si>
  <si>
    <t xml:space="preserve">Cash-only bridge</t>
  </si>
  <si>
    <t xml:space="preserve">Add cash and marketable securities</t>
  </si>
  <si>
    <t xml:space="preserve">USD/share understatement</t>
  </si>
  <si>
    <t xml:space="preserve">Treated all 22m Base shares as primary</t>
  </si>
  <si>
    <t xml:space="preserve">Primary included secondary</t>
  </si>
  <si>
    <t xml:space="preserve">Only SEC primary forms company gross</t>
  </si>
  <si>
    <t xml:space="preserve">USD mm gross overstatement</t>
  </si>
  <si>
    <t xml:space="preserve">Included greenshoe in Base</t>
  </si>
  <si>
    <t xml:space="preserve">Assumed full exercise</t>
  </si>
  <si>
    <t xml:space="preserve">Base excludes option</t>
  </si>
  <si>
    <t xml:space="preserve">USD mm net proceeds improperly in Base</t>
  </si>
  <si>
    <t xml:space="preserve">CP-11/12</t>
  </si>
  <si>
    <t xml:space="preserve">Fee on all offered shares</t>
  </si>
  <si>
    <t xml:space="preserve">Company fee included secondary</t>
  </si>
  <si>
    <t xml:space="preserve">Fee only on company primary gross</t>
  </si>
  <si>
    <t xml:space="preserve">USD mm company fee overstatement</t>
  </si>
  <si>
    <t xml:space="preserve">Secondary increased share count</t>
  </si>
  <si>
    <t xml:space="preserve">Added sold secondary shares</t>
  </si>
  <si>
    <t xml:space="preserve">Secondary is transfer</t>
  </si>
  <si>
    <t xml:space="preserve">mm shares overstatement</t>
  </si>
  <si>
    <t xml:space="preserve">Secondary proceeds paid to company</t>
  </si>
  <si>
    <t xml:space="preserve">Added seller proceeds to company</t>
  </si>
  <si>
    <t xml:space="preserve">Company receives zero</t>
  </si>
  <si>
    <t xml:space="preserve">Dilution numerator/denominator mismatch</t>
  </si>
  <si>
    <t xml:space="preserve">Post-money equity / pre-money shares</t>
  </si>
  <si>
    <t xml:space="preserve">Match equity and share bases; present issuance ratios</t>
  </si>
  <si>
    <t xml:space="preserve">Conceptual hard error</t>
  </si>
  <si>
    <t xml:space="preserve">CP-10; denominator consistency</t>
  </si>
  <si>
    <t xml:space="preserve">High case pushed above $34</t>
  </si>
  <si>
    <t xml:space="preserve">Recommendation anchored to high case</t>
  </si>
  <si>
    <t xml:space="preserve">Apply CP-14 tests around midpoint</t>
  </si>
  <si>
    <t xml:space="preserve">USD/share high case above working price</t>
  </si>
  <si>
    <t xml:space="preserve">CP-14/15</t>
  </si>
  <si>
    <t xml:space="preserve">Used superseded v2 policy</t>
  </si>
  <si>
    <t xml:space="preserve">SBC/10% discount/all-share fee</t>
  </si>
  <si>
    <t xml:space="preserve">Use current v3 CP-01–CP-15</t>
  </si>
  <si>
    <t xml:space="preserve">Version control</t>
  </si>
  <si>
    <t xml:space="preserve">v2 Revision_Note</t>
  </si>
  <si>
    <t xml:space="preserve">/app/input_files/committee/Committee_Policy_v2_20240305.xlsx</t>
  </si>
  <si>
    <t xml:space="preserve">Three groups of broken REF links</t>
  </si>
  <si>
    <t xml:space="preserve">Valuation, QoE and offering linkage failed</t>
  </si>
  <si>
    <t xml:space="preserve">Rebuild formulas from Inputs</t>
  </si>
  <si>
    <t xml:space="preserve">broken formula groups</t>
  </si>
  <si>
    <t xml:space="preserve">Candidate model readme</t>
  </si>
  <si>
    <t xml:space="preserve">Data anomaly</t>
  </si>
  <si>
    <t xml:space="preserve">FY2022 August duplicated at rows 9/14</t>
  </si>
  <si>
    <t xml:space="preserve">Raw sum 723.801</t>
  </si>
  <si>
    <t xml:space="preserve">Exclude row 14</t>
  </si>
  <si>
    <t xml:space="preserve">USD mm overstatement</t>
  </si>
  <si>
    <t xml:space="preserve">Tie to SEC-01</t>
  </si>
  <si>
    <t xml:space="preserve">/app/input_files/financials/monthly_revenue_2022_2023.csv</t>
  </si>
  <si>
    <t xml:space="preserve">FY2023 all rows include duplicate-source December</t>
  </si>
  <si>
    <t xml:space="preserve">All rows 870.529</t>
  </si>
  <si>
    <t xml:space="preserve">Exclude INT preliminary; retain SEC December</t>
  </si>
  <si>
    <t xml:space="preserve">USD mm raw overstatement</t>
  </si>
  <si>
    <t xml:space="preserve">CP-02 source priority</t>
  </si>
  <si>
    <t xml:space="preserve">FY2023 INT replaces SEC December scenario</t>
  </si>
  <si>
    <t xml:space="preserve">SEC-only adopted 804.029</t>
  </si>
  <si>
    <t xml:space="preserve">INT replacement scenario 801.550</t>
  </si>
  <si>
    <t xml:space="preserve">USD mm replacement scenario difference</t>
  </si>
  <si>
    <t xml:space="preserve">Rejected alternative; CP-02</t>
  </si>
  <si>
    <t xml:space="preserve">FY2023 segment Other decimal typo</t>
  </si>
  <si>
    <t xml:space="preserve">Other 152.470; raw 941.252</t>
  </si>
  <si>
    <t xml:space="preserve">Other 15.247; corrected 804.029</t>
  </si>
  <si>
    <t xml:space="preserve">SEC-01 annual/segment fact</t>
  </si>
  <si>
    <t xml:space="preserve">/app/input_files/financials/revenue_by_segment_2022_2023.csv</t>
  </si>
  <si>
    <t xml:space="preserve">FY2023 SBC TOTAL differs from components</t>
  </si>
  <si>
    <t xml:space="preserve">TOTAL 49.680</t>
  </si>
  <si>
    <t xml:space="preserve">Components/SEC 49.086</t>
  </si>
  <si>
    <t xml:space="preserve">USD mm total overstatement</t>
  </si>
  <si>
    <t xml:space="preserve">/app/input_files/financials/sbc_detail_2022_2023.csv</t>
  </si>
  <si>
    <t xml:space="preserve">SEC-16 registered count cannot be rebuilt</t>
  </si>
  <si>
    <t xml:space="preserve">Reported 141.2; note says exclude RSUs</t>
  </si>
  <si>
    <t xml:space="preserve">Annotation implies 138.0; economic 143.716563</t>
  </si>
  <si>
    <t xml:space="preserve">mm shares vs annotation</t>
  </si>
  <si>
    <t xml:space="preserve">Use economic count; disclose</t>
  </si>
  <si>
    <t xml:space="preserve">/app/input_files/sec_filings/SEC-16_share_count_history.csv</t>
  </si>
  <si>
    <t xml:space="preserve">Cap table Source_ID/as-of conflict</t>
  </si>
  <si>
    <t xml:space="preserve">SEC-09-tagged rows dated 2024-03-18</t>
  </si>
  <si>
    <t xml:space="preserve">SEC-09 file is 2024-03-11; retain committee snapshot with flag</t>
  </si>
  <si>
    <t xml:space="preserve">Metadata exception</t>
  </si>
  <si>
    <t xml:space="preserve">Lineage conflict</t>
  </si>
  <si>
    <t xml:space="preserve">/app/input_files/committee/cap_table_snapshot_20240318.csv; /app/input_files/sec_filings/SEC-09_capitalization.csv</t>
  </si>
  <si>
    <t xml:space="preserve">UW-01 absent from master Source_Index</t>
  </si>
  <si>
    <t xml:space="preserve">UW-01 used in terms/cap table</t>
  </si>
  <si>
    <t xml:space="preserve">Trace directly and flag missing index entry</t>
  </si>
  <si>
    <t xml:space="preserve">missing source ID</t>
  </si>
  <si>
    <t xml:space="preserve">Source governance</t>
  </si>
  <si>
    <t xml:space="preserve">/app/input_files/sec_filings/Source_Index.csv</t>
  </si>
  <si>
    <t xml:space="preserve">Source_Index misses actual files/IDs</t>
  </si>
  <si>
    <t xml:space="preserve">SEC-06, SEC-07, SEC-08, SEC-11, SEC-12, SEC-13, SEC-14, SEC-15, SEC-16</t>
  </si>
  <si>
    <t xml:space="preserve">Use actual files but flag incomplete index</t>
  </si>
  <si>
    <t xml:space="preserve">missing SEC IDs</t>
  </si>
  <si>
    <t xml:space="preserve">Source Trace</t>
  </si>
  <si>
    <t xml:space="preserve">SEC public facts are distinguished from internal committee assumptions; competing values are explicitly disposed.</t>
  </si>
  <si>
    <t xml:space="preserve">Item</t>
  </si>
  <si>
    <t xml:space="preserve">Adopted value</t>
  </si>
  <si>
    <t xml:space="preserve">Adopted source</t>
  </si>
  <si>
    <t xml:space="preserve">Competing value</t>
  </si>
  <si>
    <t xml:space="preserve">Competing source</t>
  </si>
  <si>
    <t xml:space="preserve">Disposition</t>
  </si>
  <si>
    <t xml:space="preserve">Reason / policy</t>
  </si>
  <si>
    <t xml:space="preserve">Index status</t>
  </si>
  <si>
    <t xml:space="preserve">Policy status</t>
  </si>
  <si>
    <t xml:space="preserve">v3 current; CP-01–CP-15</t>
  </si>
  <si>
    <t xml:space="preserve">text</t>
  </si>
  <si>
    <t xml:space="preserve">Internal committee policy</t>
  </si>
  <si>
    <t xml:space="preserve">/app/input_files/committee/Committee_Policy_v3_20240320.xlsx::Committee_Policy!A2:D16</t>
  </si>
  <si>
    <t xml:space="preserve">v2 superseded</t>
  </si>
  <si>
    <t xml:space="preserve">/app/input_files/committee/Committee_Policy_v2_20240305.xlsx::Revision_Note!A2:B5</t>
  </si>
  <si>
    <t xml:space="preserve">Adopt v3</t>
  </si>
  <si>
    <t xml:space="preserve">Revision note and committee email; CP-01</t>
  </si>
  <si>
    <t xml:space="preserve">Traced</t>
  </si>
  <si>
    <t xml:space="preserve">2023A revenue</t>
  </si>
  <si>
    <t xml:space="preserve">804.029</t>
  </si>
  <si>
    <t xml:space="preserve">IR flash 806.200</t>
  </si>
  <si>
    <t xml:space="preserve">/app/input_files/internal/management_flash_20240319.csv</t>
  </si>
  <si>
    <t xml:space="preserve">Exclude flash</t>
  </si>
  <si>
    <t xml:space="preserve">SEC priority 1 vs INT-01 priority 9; CP-02</t>
  </si>
  <si>
    <t xml:space="preserve">2024E growth</t>
  </si>
  <si>
    <t xml:space="preserve">22.0%</t>
  </si>
  <si>
    <t xml:space="preserve">Industry 18%</t>
  </si>
  <si>
    <t xml:space="preserve">/app/input_files/research/sector_benchmark.md</t>
  </si>
  <si>
    <t xml:space="preserve">Retain committee forecast</t>
  </si>
  <si>
    <t xml:space="preserve">2024E revenue</t>
  </si>
  <si>
    <t xml:space="preserve">980.91538</t>
  </si>
  <si>
    <t xml:space="preserve">Calculated internal forecast</t>
  </si>
  <si>
    <t xml:space="preserve">/app/input_files/sec_filings/SEC-01_financials_extract.xlsx revenue × /app/input_files/committee/Underwriting_Assumptions_20240320.xlsx growth</t>
  </si>
  <si>
    <t xml:space="preserve">None</t>
  </si>
  <si>
    <t xml:space="preserve">Adopt</t>
  </si>
  <si>
    <t xml:space="preserve">-69.275</t>
  </si>
  <si>
    <t xml:space="preserve">SEC disclosed management non-GAAP</t>
  </si>
  <si>
    <t xml:space="preserve">IR flash -66.100</t>
  </si>
  <si>
    <t xml:space="preserve">CP-02/CP-03</t>
  </si>
  <si>
    <t xml:space="preserve">SBC reversal</t>
  </si>
  <si>
    <t xml:space="preserve">49.086</t>
  </si>
  <si>
    <t xml:space="preserve">SEC public fact / underwriting adjustment</t>
  </si>
  <si>
    <t xml:space="preserve">Detail TOTAL 49.680</t>
  </si>
  <si>
    <t xml:space="preserve">Use components/SEC amount; flag total</t>
  </si>
  <si>
    <t xml:space="preserve">8.098; incremental 0</t>
  </si>
  <si>
    <t xml:space="preserve">SEC public fact / policy treatment</t>
  </si>
  <si>
    <t xml:space="preserve">/app/input_files/sec_filings/SEC-01_financials_extract.xlsx::'Public_Financials'!C8; /app/input_files/committee/Committee_Policy_v3_20240320.xlsx::'Committee_Policy'!C5</t>
  </si>
  <si>
    <t xml:space="preserve">Second addback</t>
  </si>
  <si>
    <t xml:space="preserve">Potential legacy treatment</t>
  </si>
  <si>
    <t xml:space="preserve">No double count</t>
  </si>
  <si>
    <t xml:space="preserve">-118.361</t>
  </si>
  <si>
    <t xml:space="preserve">Calculated underwriting conclusion</t>
  </si>
  <si>
    <t xml:space="preserve">FIN3-WKN-152_qoe_bridge.csv</t>
  </si>
  <si>
    <t xml:space="preserve">Management -69.275</t>
  </si>
  <si>
    <t xml:space="preserve">/app/input_files/sec_filings/SEC-01_financials_extract.xlsx</t>
  </si>
  <si>
    <t xml:space="preserve">Reverse SBC addback</t>
  </si>
  <si>
    <t xml:space="preserve">-84.838</t>
  </si>
  <si>
    <t xml:space="preserve">IR flash -82.400</t>
  </si>
  <si>
    <t xml:space="preserve">CP-02/CP-13</t>
  </si>
  <si>
    <t xml:space="preserve">401.176</t>
  </si>
  <si>
    <t xml:space="preserve">Include</t>
  </si>
  <si>
    <t xml:space="preserve">Marketable securities</t>
  </si>
  <si>
    <t xml:space="preserve">811.946</t>
  </si>
  <si>
    <t xml:space="preserve">Legacy omitted</t>
  </si>
  <si>
    <t xml:space="preserve">Economic shares</t>
  </si>
  <si>
    <t xml:space="preserve">143.716563</t>
  </si>
  <si>
    <t xml:space="preserve">Internal committee assumption supported by SEC-09 components</t>
  </si>
  <si>
    <t xml:space="preserve">/app/input_files/committee/Offering_Terms_20240320.xlsx::'Offering_Terms'!B6; /app/input_files/committee/cap_table_snapshot_20240318.csv</t>
  </si>
  <si>
    <t xml:space="preserve">SEC-16 registered 141.2</t>
  </si>
  <si>
    <t xml:space="preserve">Use committee economic count; flag unreconciled registered count</t>
  </si>
  <si>
    <t xml:space="preserve">Economic basis for valuation; label conflict noted</t>
  </si>
  <si>
    <t xml:space="preserve">Peer multiples</t>
  </si>
  <si>
    <t xml:space="preserve">4.0/4.5/5.0</t>
  </si>
  <si>
    <t xml:space="preserve">/app/input_files/committee/Underwriting_Assumptions_20240320.xlsx::Assumptions!A3:B5</t>
  </si>
  <si>
    <t xml:space="preserve">BANK-B reaches 5.1x</t>
  </si>
  <si>
    <t xml:space="preserve">/app/input_files/comps/underwriter_B_comps_20240318.csv</t>
  </si>
  <si>
    <t xml:space="preserve">IPO discount</t>
  </si>
  <si>
    <t xml:space="preserve">12.5%</t>
  </si>
  <si>
    <t xml:space="preserve">v2 10%; legacy 0%</t>
  </si>
  <si>
    <t xml:space="preserve">/app/input_files/committee/Committee_Policy_v2_20240305.xlsx; /app/input_files/legacy/legacy_assumptions_export.csv</t>
  </si>
  <si>
    <t xml:space="preserve">Use v3</t>
  </si>
  <si>
    <t xml:space="preserve">34.00</t>
  </si>
  <si>
    <t xml:space="preserve">SEC preliminary range 31–34</t>
  </si>
  <si>
    <t xml:space="preserve">/app/input_files/sec_filings/SEC-03_offering_terms.xlsx</t>
  </si>
  <si>
    <t xml:space="preserve">Decision input, not final result</t>
  </si>
  <si>
    <t xml:space="preserve">CP-01/CP-14</t>
  </si>
  <si>
    <t xml:space="preserve">Offering shares</t>
  </si>
  <si>
    <t xml:space="preserve">Primary 15.276527; secondary 6.723473; shoe 3.3</t>
  </si>
  <si>
    <t xml:space="preserve">/app/input_files/sec_filings/SEC-03_offering_terms.xlsx::Offering_Terms!A2:E4</t>
  </si>
  <si>
    <t xml:space="preserve">Legacy treats all as primary and includes shoe in Base</t>
  </si>
  <si>
    <t xml:space="preserve">Separate mechanics</t>
  </si>
  <si>
    <t xml:space="preserve">CP-10/CP-11</t>
  </si>
  <si>
    <t xml:space="preserve">Fee and fixed expense</t>
  </si>
  <si>
    <t xml:space="preserve">5.0%; 7.0</t>
  </si>
  <si>
    <t xml:space="preserve">% primary gross; USD mm</t>
  </si>
  <si>
    <t xml:space="preserve">Internal committee assumption / SEC mechanics</t>
  </si>
  <si>
    <t xml:space="preserve">/app/input_files/committee/Offering_Terms_20240320.xlsx::'Offering_Terms'!B9; /app/input_files/sec_filings/SEC-10_underwriting_agreement_summary.md</t>
  </si>
  <si>
    <t xml:space="preserve">v2/legacy fee on all offered shares</t>
  </si>
  <si>
    <t xml:space="preserve">/app/input_files/committee/Committee_Policy_v2_20240305.xlsx; /app/input_files/legacy/Candidate_Model_v0.xlsx</t>
  </si>
  <si>
    <t xml:space="preserve">Fee company primary only</t>
  </si>
  <si>
    <t xml:space="preserve">Monthly FY2022 duplicate</t>
  </si>
  <si>
    <t xml:space="preserve">666.701</t>
  </si>
  <si>
    <t xml:space="preserve">Detail tie-out anomaly</t>
  </si>
  <si>
    <t xml:space="preserve">/app/input_files/financials/monthly_revenue_2022_2023.csv excluding row 14</t>
  </si>
  <si>
    <t xml:space="preserve">Raw 723.801</t>
  </si>
  <si>
    <t xml:space="preserve">/app/input_files/financials/monthly_revenue_2022_2023.csv rows 9 and 14 duplicate August</t>
  </si>
  <si>
    <t xml:space="preserve">Tie to SEC-01 annual total</t>
  </si>
  <si>
    <t xml:space="preserve">Monthly FY2023 competing December</t>
  </si>
  <si>
    <t xml:space="preserve">SEC Dec 68.979; FY 804.029</t>
  </si>
  <si>
    <t xml:space="preserve">Source conflict</t>
  </si>
  <si>
    <t xml:space="preserve">/app/input_files/financials/monthly_revenue_2022_2023.csv SEC-01 rows</t>
  </si>
  <si>
    <t xml:space="preserve">INT Dec 66.500; replacement FY 801.550</t>
  </si>
  <si>
    <t xml:space="preserve">/app/input_files/financials/monthly_revenue_2022_2023.csv INT-01 row</t>
  </si>
  <si>
    <t xml:space="preserve">Exclude INT preliminary row</t>
  </si>
  <si>
    <t xml:space="preserve">CP-02; SEC priority</t>
  </si>
  <si>
    <t xml:space="preserve">Segment Other typo</t>
  </si>
  <si>
    <t xml:space="preserve">15.247</t>
  </si>
  <si>
    <t xml:space="preserve">Detail anomaly</t>
  </si>
  <si>
    <t xml:space="preserve">/app/input_files/sec_filings/SEC-01_financials_extract.xlsx::'Public_Financials'!C4</t>
  </si>
  <si>
    <t xml:space="preserve">152.470</t>
  </si>
  <si>
    <t xml:space="preserve">Replace detail typo</t>
  </si>
  <si>
    <t xml:space="preserve">SEC-01 annual/segment fact controls</t>
  </si>
  <si>
    <t xml:space="preserve">SBC detail total</t>
  </si>
  <si>
    <t xml:space="preserve">Components 49.086</t>
  </si>
  <si>
    <t xml:space="preserve">/app/input_files/financials/sbc_detail_2022_2023.csv component rows</t>
  </si>
  <si>
    <t xml:space="preserve">/app/input_files/financials/sbc_detail_2022_2023.csv TOTAL</t>
  </si>
  <si>
    <t xml:space="preserve">Use components/SEC-01</t>
  </si>
  <si>
    <t xml:space="preserve">Components tie to SEC fact</t>
  </si>
  <si>
    <t xml:space="preserve">Cap table registered count</t>
  </si>
  <si>
    <t xml:space="preserve">Economic 143.716563</t>
  </si>
  <si>
    <t xml:space="preserve">Unresolved source discrepancy disclosed</t>
  </si>
  <si>
    <t xml:space="preserve">/app/input_files/committee/cap_table_snapshot_20240318.csv</t>
  </si>
  <si>
    <t xml:space="preserve">Registered 141.2; annotation implies 138.0</t>
  </si>
  <si>
    <t xml:space="preserve">Do not use registered count; flag</t>
  </si>
  <si>
    <t xml:space="preserve">SEC-16 explanation cannot be rebuilt</t>
  </si>
  <si>
    <t xml:space="preserve">Cap table labels</t>
  </si>
  <si>
    <t xml:space="preserve">Committee economic snapshot 2024-03-18</t>
  </si>
  <si>
    <t xml:space="preserve">Metadata anomaly</t>
  </si>
  <si>
    <t xml:space="preserve">Rows tagged SEC-09 but dated 2024-03-18 vs SEC-09 2024-03-11</t>
  </si>
  <si>
    <t xml:space="preserve">Retain value; flag lineage</t>
  </si>
  <si>
    <t xml:space="preserve">Mixed Source_ID/as-of labels</t>
  </si>
  <si>
    <t xml:space="preserve">Missing/flag</t>
  </si>
  <si>
    <t xml:space="preserve">Source index coverage</t>
  </si>
  <si>
    <t xml:space="preserve">Use actual files with explicit trace</t>
  </si>
  <si>
    <t xml:space="preserve">Source governance anomaly</t>
  </si>
  <si>
    <t xml:space="preserve">SEC-06, SEC-07, SEC-08, SEC-11, SEC-12, SEC-13, SEC-14, SEC-15, SEC-16, UW-01</t>
  </si>
  <si>
    <t xml:space="preserve">Actual file names / UW-01 references</t>
  </si>
  <si>
    <t xml:space="preserve">Flag missing IDs</t>
  </si>
  <si>
    <t xml:space="preserve">Index incomplete; no inference of priority</t>
  </si>
  <si>
    <t xml:space="preserve">Detailed Tie-outs</t>
  </si>
  <si>
    <t xml:space="preserve">C/D contain recalculable Excel formulas assembled from source detail or linked authority; E is always C minus D.</t>
  </si>
  <si>
    <t xml:space="preserve">Area</t>
  </si>
  <si>
    <t xml:space="preserve">Displayed calculation / detail</t>
  </si>
  <si>
    <t xml:space="preserve">Computed total</t>
  </si>
  <si>
    <t xml:space="preserve">Target</t>
  </si>
  <si>
    <t xml:space="preserve">Difference</t>
  </si>
  <si>
    <t xml:space="preserve">Exception type</t>
  </si>
  <si>
    <t xml:space="preserve">Monthly revenue</t>
  </si>
  <si>
    <t xml:space="preserve">FY2022 rows 2–14, including duplicate Aug row 14</t>
  </si>
  <si>
    <t xml:space="preserve">Duplicate</t>
  </si>
  <si>
    <t xml:space="preserve">Exclude row 14 duplicate of row 9</t>
  </si>
  <si>
    <t xml:space="preserve">FY2022 rows 2–13; row 14 excluded</t>
  </si>
  <si>
    <t xml:space="preserve">Resolved</t>
  </si>
  <si>
    <t xml:space="preserve">FY2023 rows 15–27, both Dec sources</t>
  </si>
  <si>
    <t xml:space="preserve">Competing source row</t>
  </si>
  <si>
    <t xml:space="preserve">Exclude INT-01 December</t>
  </si>
  <si>
    <t xml:space="preserve">FY2023 SEC-01 rows 15–26</t>
  </si>
  <si>
    <t xml:space="preserve">Rows 15–25 plus INT-01 Dec row 27</t>
  </si>
  <si>
    <t xml:space="preserve">Rejected alternative</t>
  </si>
  <si>
    <t xml:space="preserve">Exclude; preliminary</t>
  </si>
  <si>
    <t xml:space="preserve">Quarterly revenue</t>
  </si>
  <si>
    <t xml:space="preserve">Rows 2–5: Q1+Q2+Q3+Q4</t>
  </si>
  <si>
    <t xml:space="preserve">Adopt as corroboration</t>
  </si>
  <si>
    <t xml:space="preserve">/app/input_files/financials/revenue_quarterly.csv</t>
  </si>
  <si>
    <t xml:space="preserve">Segment revenue</t>
  </si>
  <si>
    <t xml:space="preserve">Rows 4–5: Advertising + raw Other</t>
  </si>
  <si>
    <t xml:space="preserve">Decimal typo</t>
  </si>
  <si>
    <t xml:space="preserve">Replace Other from SEC-01</t>
  </si>
  <si>
    <t xml:space="preserve">Advertising row 4 + SEC-01 Other (15.247)</t>
  </si>
  <si>
    <t xml:space="preserve">/app/input_files/financials/revenue_by_segment_2022_2023.csv; /app/input_files/sec_filings/SEC-01_financials_extract.xlsx</t>
  </si>
  <si>
    <t xml:space="preserve">Geographic revenue</t>
  </si>
  <si>
    <t xml:space="preserve">FY2023 rows 4–5: US + International</t>
  </si>
  <si>
    <t xml:space="preserve">/app/input_files/sec_filings/SEC-05_revenue_by_geo.csv</t>
  </si>
  <si>
    <t xml:space="preserve">FY2023 component rows 6–9</t>
  </si>
  <si>
    <t xml:space="preserve">Adopt components</t>
  </si>
  <si>
    <t xml:space="preserve">FY2023 reported TOTAL row 10</t>
  </si>
  <si>
    <t xml:space="preserve">Total mismatch</t>
  </si>
  <si>
    <t xml:space="preserve">Reject TOTAL row</t>
  </si>
  <si>
    <t xml:space="preserve">Component rows 2–4</t>
  </si>
  <si>
    <t xml:space="preserve">Already adjusted; incremental zero</t>
  </si>
  <si>
    <t xml:space="preserve">/app/input_files/financials/restructuring_detail_2023.csv</t>
  </si>
  <si>
    <t xml:space="preserve">Reported TOTAL row 5</t>
  </si>
  <si>
    <t xml:space="preserve">No second addback</t>
  </si>
  <si>
    <t xml:space="preserve">Rows 2–3: operating cash flow − absolute capex</t>
  </si>
  <si>
    <t xml:space="preserve">/app/input_files/financials/fcf_bridge_2023.csv</t>
  </si>
  <si>
    <t xml:space="preserve">CFS</t>
  </si>
  <si>
    <t xml:space="preserve">Rows 2–4: operating + investing + financing</t>
  </si>
  <si>
    <t xml:space="preserve">Ties to net change</t>
  </si>
  <si>
    <t xml:space="preserve">/app/input_files/financials/cash_flow_statement_2023.csv</t>
  </si>
  <si>
    <t xml:space="preserve">Rows 5–6: beginning cash + net change</t>
  </si>
  <si>
    <t xml:space="preserve">Ties to ending cash</t>
  </si>
  <si>
    <t xml:space="preserve">Balance sheet</t>
  </si>
  <si>
    <t xml:space="preserve">Rows 2–3: cash + marketable securities</t>
  </si>
  <si>
    <t xml:space="preserve">Both included in equity bridge</t>
  </si>
  <si>
    <t xml:space="preserve">/app/input_files/financials/balance_sheet_summary_2022_2023.csv</t>
  </si>
  <si>
    <t xml:space="preserve">Income statement</t>
  </si>
  <si>
    <t xml:space="preserve">Revenue row 2</t>
  </si>
  <si>
    <t xml:space="preserve">/app/input_files/financials/income_statement_2022_2023.csv</t>
  </si>
  <si>
    <t xml:space="preserve">Net income (loss) row 9 vs deficit movement</t>
  </si>
  <si>
    <t xml:space="preserve">Operating expenses</t>
  </si>
  <si>
    <t xml:space="preserve">Rows 2–5: cost of revenue + R&amp;D + S&amp;M + G&amp;A</t>
  </si>
  <si>
    <t xml:space="preserve">Ties</t>
  </si>
  <si>
    <t xml:space="preserve">/app/input_files/financials/opex_summary_2022_2023.csv</t>
  </si>
  <si>
    <t xml:space="preserve">Accumulated deficit</t>
  </si>
  <si>
    <t xml:space="preserve">FY2023 less FY2022, equity row 3</t>
  </si>
  <si>
    <t xml:space="preserve">Ties to net loss</t>
  </si>
  <si>
    <t xml:space="preserve">/app/input_files/financials/stockholders_equity_summary.csv</t>
  </si>
  <si>
    <t xml:space="preserve">Cap table</t>
  </si>
  <si>
    <t xml:space="preserve">Rows 2–7 committee components</t>
  </si>
  <si>
    <t xml:space="preserve">Arithmetic holds</t>
  </si>
  <si>
    <t xml:space="preserve">SEC-09 rows 2–7 components</t>
  </si>
  <si>
    <t xml:space="preserve">Metadata mismatch</t>
  </si>
  <si>
    <t xml:space="preserve">Value supports economic count; as-of differs</t>
  </si>
  <si>
    <t xml:space="preserve">/app/input_files/sec_filings/SEC-09_capitalization.csv</t>
  </si>
  <si>
    <t xml:space="preserve">SEC-16 row 5 registered vs economic</t>
  </si>
  <si>
    <t xml:space="preserve">Unreconciled</t>
  </si>
  <si>
    <t xml:space="preserve">Do not use registered count</t>
  </si>
  <si>
    <t xml:space="preserve">Committee components excluding unsettled RSUs vs SEC-16 row 5</t>
  </si>
  <si>
    <t xml:space="preserve">Unreconciled annotation</t>
  </si>
  <si>
    <t xml:space="preserve">Flag 3.2m gap</t>
  </si>
  <si>
    <t xml:space="preserve">Committee Base primary + secondary</t>
  </si>
  <si>
    <t xml:space="preserve">Base sold shares; secondary not new</t>
  </si>
  <si>
    <t xml:space="preserve">Committee Base primary + secondary + shoe</t>
  </si>
  <si>
    <t xml:space="preserve">Full option scenario</t>
  </si>
  <si>
    <t xml:space="preserve">Methodology and Reproduction Checks</t>
  </si>
  <si>
    <t xml:space="preserve">Control hierarchy, valuation rationale, named structural checks, governance exceptions, and file inventory.</t>
  </si>
  <si>
    <t xml:space="preserve">Section</t>
  </si>
  <si>
    <t xml:space="preserve">Status</t>
  </si>
  <si>
    <t xml:space="preserve">Method</t>
  </si>
  <si>
    <t xml:space="preserve">Information cutoff</t>
  </si>
  <si>
    <t xml:space="preserve">2024-03-20 pre-pricing only</t>
  </si>
  <si>
    <t xml:space="preserve">PASS</t>
  </si>
  <si>
    <t xml:space="preserve">CP-01</t>
  </si>
  <si>
    <t xml:space="preserve">Source hierarchy</t>
  </si>
  <si>
    <t xml:space="preserve">Source_Index priority; v3 resolves equal-priority policy</t>
  </si>
  <si>
    <t xml:space="preserve">CP-02 and README</t>
  </si>
  <si>
    <t xml:space="preserve">Profitability</t>
  </si>
  <si>
    <t xml:space="preserve">Reverse SBC; no repeat restructuring addback</t>
  </si>
  <si>
    <t xml:space="preserve">Primary valuation</t>
  </si>
  <si>
    <t xml:space="preserve">EV / 2024E Revenue because underwriting EBITDA remains negative</t>
  </si>
  <si>
    <t xml:space="preserve">CP-05</t>
  </si>
  <si>
    <t xml:space="preserve">Equity bridge</t>
  </si>
  <si>
    <t xml:space="preserve">EV + cash + marketable securities</t>
  </si>
  <si>
    <t xml:space="preserve">Discount placement</t>
  </si>
  <si>
    <t xml:space="preserve">After equity value per share</t>
  </si>
  <si>
    <t xml:space="preserve">Offering mechanics</t>
  </si>
  <si>
    <t xml:space="preserve">Secondary excluded from proceeds/new shares; shoe separate</t>
  </si>
  <si>
    <t xml:space="preserve">CP-10/11/12</t>
  </si>
  <si>
    <t xml:space="preserve">SEC-02</t>
  </si>
  <si>
    <t xml:space="preserve">32.50 − 11.17 = 21.33; no extrapolation</t>
  </si>
  <si>
    <t xml:space="preserve">Structure check</t>
  </si>
  <si>
    <t xml:space="preserve">committee/SEC primary-secondary-shoe agreement</t>
  </si>
  <si>
    <t xml:space="preserve">Included in Pricing_Summary Test 3</t>
  </si>
  <si>
    <t xml:space="preserve">full primary equals base primary plus shoe</t>
  </si>
  <si>
    <t xml:space="preserve">base sold equals primary plus secondary</t>
  </si>
  <si>
    <t xml:space="preserve">Base shoe model treatment equals zero</t>
  </si>
  <si>
    <t xml:space="preserve">secondary company proceeds model treatment equals zero</t>
  </si>
  <si>
    <t xml:space="preserve">Base share-capital bridge</t>
  </si>
  <si>
    <t xml:space="preserve">Full share-capital bridge</t>
  </si>
  <si>
    <t xml:space="preserve">underwriting fee applies only to primary gross</t>
  </si>
  <si>
    <t xml:space="preserve">fixed company expense deducted once per scenario</t>
  </si>
  <si>
    <t xml:space="preserve">core normal/corrected tie-outs pass</t>
  </si>
  <si>
    <t xml:space="preserve">Inventory</t>
  </si>
  <si>
    <t xml:space="preserve">committee</t>
  </si>
  <si>
    <t xml:space="preserve">COUNT</t>
  </si>
  <si>
    <t xml:space="preserve">Input files</t>
  </si>
  <si>
    <t xml:space="preserve">sec_filings</t>
  </si>
  <si>
    <t xml:space="preserve">financials</t>
  </si>
  <si>
    <t xml:space="preserve">comps</t>
  </si>
  <si>
    <t xml:space="preserve">research</t>
  </si>
  <si>
    <t xml:space="preserve">internal</t>
  </si>
  <si>
    <t xml:space="preserve">legacy</t>
  </si>
  <si>
    <t xml:space="preserve">Seven source directories subtotal</t>
  </si>
  <si>
    <t xml:space="preserve">Derived by pathlib</t>
  </si>
  <si>
    <t xml:space="preserve">Root files</t>
  </si>
  <si>
    <t xml:space="preserve">README + data dictionary</t>
  </si>
  <si>
    <t xml:space="preserve">Total source files</t>
  </si>
  <si>
    <t xml:space="preserve">Seven directories + root</t>
  </si>
  <si>
    <t xml:space="preserve">Check</t>
  </si>
  <si>
    <t xml:space="preserve">QoE bridge</t>
  </si>
  <si>
    <t xml:space="preserve">-69.275 − 49.086 = -118.361</t>
  </si>
  <si>
    <t xml:space="preserve">Base proceeds</t>
  </si>
  <si>
    <t xml:space="preserve">Gross 519.401918; fee 25.9700959; net 486.4318221</t>
  </si>
  <si>
    <t xml:space="preserve">Full proceeds</t>
  </si>
  <si>
    <t xml:space="preserve">Gross 631.601918; fee 31.5800959; net 593.0218221</t>
  </si>
  <si>
    <t xml:space="preserve">Pricing decision</t>
  </si>
  <si>
    <t xml:space="preserve">CP-14/15; all three Pricing_Summary tests</t>
  </si>
  <si>
    <t xml:space="preserve">Governance exception</t>
  </si>
  <si>
    <t xml:space="preserve">SEC-16 registered/economic count</t>
  </si>
  <si>
    <t xml:space="preserve">Registered 141.200000; economic 143.716563; unresolved</t>
  </si>
  <si>
    <t xml:space="preserve">FLAG</t>
  </si>
  <si>
    <t xml:space="preserve">Disclosed exception, excluded from structural hard-error gate</t>
  </si>
  <si>
    <t xml:space="preserve">Missing actual source IDs</t>
  </si>
  <si>
    <t xml:space="preserve">Source_Index incomplete; excluded from structural hard-error gate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</si>
</sst>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0;[RED]\(#,##0.000\);\-"/>
    <numFmt numFmtId="166" formatCode="0.0%;[RED]\(0.0%\);\-"/>
    <numFmt numFmtId="167" formatCode="#,##0.000000;[RED]\(#,##0.000000\);\-"/>
    <numFmt numFmtId="168" formatCode="0.0\x"/>
    <numFmt numFmtId="169" formatCode="\$0.00;[RED]&quot;($&quot;0.00\);\-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548235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D9EAF7"/>
        <bgColor rgb="FFE2F0D9"/>
      </patternFill>
    </fill>
    <fill>
      <patternFill patternType="solid">
        <fgColor rgb="FFE2F0D9"/>
        <bgColor rgb="FFD9EAF7"/>
      </patternFill>
    </fill>
    <fill>
      <patternFill patternType="solid">
        <fgColor rgb="FFFFF2CC"/>
        <bgColor rgb="FFE2F0D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7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8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9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4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4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8" fontId="0" fillId="4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7" fontId="0" fillId="4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9" fontId="0" fillId="4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7365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EAF7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548235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7B7B7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5"/>
    <col collapsed="false" customWidth="true" hidden="false" outlineLevel="0" max="3" min="3" style="0" width="18"/>
    <col collapsed="false" customWidth="true" hidden="false" outlineLevel="0" max="4" min="4" style="0" width="30"/>
    <col collapsed="false" customWidth="true" hidden="false" outlineLevel="0" max="5" min="5" style="0" width="13"/>
    <col collapsed="false" customWidth="true" hidden="false" outlineLevel="0" max="6" min="6" style="0" width="74"/>
    <col collapsed="false" customWidth="true" hidden="false" outlineLevel="0" max="7" min="7" style="0" width="35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5" t="n">
        <v>666.701</v>
      </c>
      <c r="C5" s="4" t="s">
        <v>10</v>
      </c>
      <c r="D5" s="4" t="s">
        <v>11</v>
      </c>
      <c r="E5" s="4" t="s">
        <v>12</v>
      </c>
      <c r="F5" s="4" t="s">
        <v>13</v>
      </c>
      <c r="G5" s="4" t="s">
        <v>14</v>
      </c>
    </row>
    <row r="6" customFormat="false" ht="15" hidden="false" customHeight="false" outlineLevel="0" collapsed="false">
      <c r="A6" s="4" t="s">
        <v>15</v>
      </c>
      <c r="B6" s="5" t="n">
        <v>804.029</v>
      </c>
      <c r="C6" s="4" t="s">
        <v>10</v>
      </c>
      <c r="D6" s="4" t="s">
        <v>11</v>
      </c>
      <c r="E6" s="4" t="s">
        <v>16</v>
      </c>
      <c r="F6" s="4" t="s">
        <v>17</v>
      </c>
      <c r="G6" s="4" t="s">
        <v>18</v>
      </c>
    </row>
    <row r="7" customFormat="false" ht="15" hidden="false" customHeight="false" outlineLevel="0" collapsed="false">
      <c r="A7" s="4" t="s">
        <v>19</v>
      </c>
      <c r="B7" s="6" t="n">
        <v>0.22</v>
      </c>
      <c r="C7" s="4" t="s">
        <v>20</v>
      </c>
      <c r="D7" s="4" t="s">
        <v>21</v>
      </c>
      <c r="E7" s="4" t="s">
        <v>22</v>
      </c>
      <c r="F7" s="4" t="s">
        <v>23</v>
      </c>
      <c r="G7" s="4" t="s">
        <v>24</v>
      </c>
    </row>
    <row r="8" customFormat="false" ht="28.35" hidden="false" customHeight="false" outlineLevel="0" collapsed="false">
      <c r="A8" s="4" t="s">
        <v>25</v>
      </c>
      <c r="B8" s="5" t="n">
        <v>-69.275</v>
      </c>
      <c r="C8" s="4" t="s">
        <v>10</v>
      </c>
      <c r="D8" s="4" t="s">
        <v>26</v>
      </c>
      <c r="E8" s="4" t="s">
        <v>27</v>
      </c>
      <c r="F8" s="4" t="s">
        <v>28</v>
      </c>
      <c r="G8" s="4" t="s">
        <v>29</v>
      </c>
    </row>
    <row r="9" customFormat="false" ht="15" hidden="false" customHeight="false" outlineLevel="0" collapsed="false">
      <c r="A9" s="4" t="s">
        <v>30</v>
      </c>
      <c r="B9" s="5" t="n">
        <v>49.086</v>
      </c>
      <c r="C9" s="4" t="s">
        <v>10</v>
      </c>
      <c r="D9" s="4" t="s">
        <v>11</v>
      </c>
      <c r="E9" s="4" t="s">
        <v>27</v>
      </c>
      <c r="F9" s="4" t="s">
        <v>31</v>
      </c>
      <c r="G9" s="4" t="s">
        <v>32</v>
      </c>
    </row>
    <row r="10" customFormat="false" ht="15" hidden="false" customHeight="false" outlineLevel="0" collapsed="false">
      <c r="A10" s="4" t="s">
        <v>33</v>
      </c>
      <c r="B10" s="5" t="n">
        <v>8.098</v>
      </c>
      <c r="C10" s="4" t="s">
        <v>10</v>
      </c>
      <c r="D10" s="4" t="s">
        <v>11</v>
      </c>
      <c r="E10" s="4" t="s">
        <v>34</v>
      </c>
      <c r="F10" s="4" t="s">
        <v>35</v>
      </c>
      <c r="G10" s="4" t="s">
        <v>36</v>
      </c>
    </row>
    <row r="11" customFormat="false" ht="15" hidden="false" customHeight="false" outlineLevel="0" collapsed="false">
      <c r="A11" s="4" t="s">
        <v>37</v>
      </c>
      <c r="B11" s="5" t="n">
        <v>-84.838</v>
      </c>
      <c r="C11" s="4" t="s">
        <v>10</v>
      </c>
      <c r="D11" s="4" t="s">
        <v>11</v>
      </c>
      <c r="E11" s="4" t="s">
        <v>38</v>
      </c>
      <c r="F11" s="4" t="s">
        <v>39</v>
      </c>
      <c r="G11" s="4" t="s">
        <v>40</v>
      </c>
    </row>
    <row r="12" customFormat="false" ht="15" hidden="false" customHeight="false" outlineLevel="0" collapsed="false">
      <c r="A12" s="4" t="s">
        <v>41</v>
      </c>
      <c r="B12" s="5" t="n">
        <v>401.176</v>
      </c>
      <c r="C12" s="4" t="s">
        <v>10</v>
      </c>
      <c r="D12" s="4" t="s">
        <v>11</v>
      </c>
      <c r="E12" s="4" t="s">
        <v>42</v>
      </c>
      <c r="F12" s="4" t="s">
        <v>43</v>
      </c>
      <c r="G12" s="4" t="s">
        <v>44</v>
      </c>
    </row>
    <row r="13" customFormat="false" ht="15" hidden="false" customHeight="false" outlineLevel="0" collapsed="false">
      <c r="A13" s="4" t="s">
        <v>45</v>
      </c>
      <c r="B13" s="5" t="n">
        <v>811.946</v>
      </c>
      <c r="C13" s="4" t="s">
        <v>10</v>
      </c>
      <c r="D13" s="4" t="s">
        <v>11</v>
      </c>
      <c r="E13" s="4" t="s">
        <v>42</v>
      </c>
      <c r="F13" s="4" t="s">
        <v>46</v>
      </c>
      <c r="G13" s="4" t="s">
        <v>47</v>
      </c>
    </row>
    <row r="14" customFormat="false" ht="28.35" hidden="false" customHeight="false" outlineLevel="0" collapsed="false">
      <c r="A14" s="4" t="s">
        <v>48</v>
      </c>
      <c r="B14" s="7" t="n">
        <v>143.716563</v>
      </c>
      <c r="C14" s="4" t="s">
        <v>49</v>
      </c>
      <c r="D14" s="4" t="s">
        <v>21</v>
      </c>
      <c r="E14" s="4" t="s">
        <v>12</v>
      </c>
      <c r="F14" s="4" t="s">
        <v>50</v>
      </c>
      <c r="G14" s="4" t="s">
        <v>51</v>
      </c>
    </row>
    <row r="15" customFormat="false" ht="15" hidden="false" customHeight="false" outlineLevel="0" collapsed="false">
      <c r="A15" s="4" t="s">
        <v>52</v>
      </c>
      <c r="B15" s="8" t="n">
        <v>4</v>
      </c>
      <c r="C15" s="4" t="s">
        <v>53</v>
      </c>
      <c r="D15" s="4" t="s">
        <v>21</v>
      </c>
      <c r="E15" s="4" t="s">
        <v>54</v>
      </c>
      <c r="F15" s="4" t="s">
        <v>55</v>
      </c>
      <c r="G15" s="4" t="s">
        <v>56</v>
      </c>
    </row>
    <row r="16" customFormat="false" ht="15" hidden="false" customHeight="false" outlineLevel="0" collapsed="false">
      <c r="A16" s="4" t="s">
        <v>57</v>
      </c>
      <c r="B16" s="8" t="n">
        <v>4.5</v>
      </c>
      <c r="C16" s="4" t="s">
        <v>53</v>
      </c>
      <c r="D16" s="4" t="s">
        <v>21</v>
      </c>
      <c r="E16" s="4" t="s">
        <v>54</v>
      </c>
      <c r="F16" s="4" t="s">
        <v>58</v>
      </c>
      <c r="G16" s="4" t="s">
        <v>56</v>
      </c>
    </row>
    <row r="17" customFormat="false" ht="15" hidden="false" customHeight="false" outlineLevel="0" collapsed="false">
      <c r="A17" s="4" t="s">
        <v>59</v>
      </c>
      <c r="B17" s="8" t="n">
        <v>5</v>
      </c>
      <c r="C17" s="4" t="s">
        <v>53</v>
      </c>
      <c r="D17" s="4" t="s">
        <v>21</v>
      </c>
      <c r="E17" s="4" t="s">
        <v>54</v>
      </c>
      <c r="F17" s="4" t="s">
        <v>60</v>
      </c>
      <c r="G17" s="4" t="s">
        <v>56</v>
      </c>
    </row>
    <row r="18" customFormat="false" ht="15" hidden="false" customHeight="false" outlineLevel="0" collapsed="false">
      <c r="A18" s="4" t="s">
        <v>61</v>
      </c>
      <c r="B18" s="6" t="n">
        <v>0.125</v>
      </c>
      <c r="C18" s="4" t="s">
        <v>20</v>
      </c>
      <c r="D18" s="4" t="s">
        <v>21</v>
      </c>
      <c r="E18" s="4" t="s">
        <v>62</v>
      </c>
      <c r="F18" s="4" t="s">
        <v>63</v>
      </c>
      <c r="G18" s="4" t="s">
        <v>64</v>
      </c>
    </row>
    <row r="19" customFormat="false" ht="15" hidden="false" customHeight="false" outlineLevel="0" collapsed="false">
      <c r="A19" s="4" t="s">
        <v>65</v>
      </c>
      <c r="B19" s="9" t="n">
        <v>34</v>
      </c>
      <c r="C19" s="4" t="s">
        <v>66</v>
      </c>
      <c r="D19" s="4" t="s">
        <v>21</v>
      </c>
      <c r="E19" s="4" t="s">
        <v>67</v>
      </c>
      <c r="F19" s="4" t="s">
        <v>68</v>
      </c>
      <c r="G19" s="4" t="s">
        <v>69</v>
      </c>
    </row>
    <row r="20" customFormat="false" ht="28.35" hidden="false" customHeight="false" outlineLevel="0" collapsed="false">
      <c r="A20" s="4" t="s">
        <v>70</v>
      </c>
      <c r="B20" s="7" t="n">
        <v>15.276527</v>
      </c>
      <c r="C20" s="4" t="s">
        <v>49</v>
      </c>
      <c r="D20" s="4" t="s">
        <v>71</v>
      </c>
      <c r="E20" s="4" t="s">
        <v>72</v>
      </c>
      <c r="F20" s="4" t="s">
        <v>73</v>
      </c>
      <c r="G20" s="4" t="s">
        <v>74</v>
      </c>
    </row>
    <row r="21" customFormat="false" ht="28.35" hidden="false" customHeight="false" outlineLevel="0" collapsed="false">
      <c r="A21" s="4" t="s">
        <v>75</v>
      </c>
      <c r="B21" s="7" t="n">
        <v>18.576527</v>
      </c>
      <c r="C21" s="4" t="s">
        <v>49</v>
      </c>
      <c r="D21" s="4" t="s">
        <v>71</v>
      </c>
      <c r="E21" s="4" t="s">
        <v>76</v>
      </c>
      <c r="F21" s="4" t="s">
        <v>77</v>
      </c>
      <c r="G21" s="4" t="s">
        <v>78</v>
      </c>
    </row>
    <row r="22" customFormat="false" ht="28.35" hidden="false" customHeight="false" outlineLevel="0" collapsed="false">
      <c r="A22" s="4" t="s">
        <v>79</v>
      </c>
      <c r="B22" s="7" t="n">
        <v>6.723473</v>
      </c>
      <c r="C22" s="4" t="s">
        <v>49</v>
      </c>
      <c r="D22" s="4" t="s">
        <v>71</v>
      </c>
      <c r="E22" s="4" t="s">
        <v>72</v>
      </c>
      <c r="F22" s="4" t="s">
        <v>80</v>
      </c>
      <c r="G22" s="4" t="s">
        <v>81</v>
      </c>
    </row>
    <row r="23" customFormat="false" ht="15" hidden="false" customHeight="false" outlineLevel="0" collapsed="false">
      <c r="A23" s="4" t="s">
        <v>82</v>
      </c>
      <c r="B23" s="7" t="n">
        <v>0</v>
      </c>
      <c r="C23" s="4" t="s">
        <v>49</v>
      </c>
      <c r="D23" s="4" t="s">
        <v>83</v>
      </c>
      <c r="E23" s="4" t="s">
        <v>84</v>
      </c>
      <c r="F23" s="4" t="s">
        <v>85</v>
      </c>
      <c r="G23" s="4" t="s">
        <v>86</v>
      </c>
    </row>
    <row r="24" customFormat="false" ht="28.35" hidden="false" customHeight="false" outlineLevel="0" collapsed="false">
      <c r="A24" s="4" t="s">
        <v>87</v>
      </c>
      <c r="B24" s="7" t="n">
        <v>3.3</v>
      </c>
      <c r="C24" s="4" t="s">
        <v>49</v>
      </c>
      <c r="D24" s="4" t="s">
        <v>71</v>
      </c>
      <c r="E24" s="4" t="s">
        <v>84</v>
      </c>
      <c r="F24" s="4" t="s">
        <v>88</v>
      </c>
      <c r="G24" s="4" t="s">
        <v>89</v>
      </c>
    </row>
    <row r="25" customFormat="false" ht="28.35" hidden="false" customHeight="false" outlineLevel="0" collapsed="false">
      <c r="A25" s="4" t="s">
        <v>90</v>
      </c>
      <c r="B25" s="7" t="n">
        <v>15.276527</v>
      </c>
      <c r="C25" s="4" t="s">
        <v>49</v>
      </c>
      <c r="D25" s="4" t="s">
        <v>11</v>
      </c>
      <c r="E25" s="4" t="s">
        <v>72</v>
      </c>
      <c r="F25" s="4" t="s">
        <v>91</v>
      </c>
      <c r="G25" s="4" t="s">
        <v>92</v>
      </c>
    </row>
    <row r="26" customFormat="false" ht="28.35" hidden="false" customHeight="false" outlineLevel="0" collapsed="false">
      <c r="A26" s="4" t="s">
        <v>93</v>
      </c>
      <c r="B26" s="7" t="n">
        <v>6.723473</v>
      </c>
      <c r="C26" s="4" t="s">
        <v>49</v>
      </c>
      <c r="D26" s="4" t="s">
        <v>11</v>
      </c>
      <c r="E26" s="4" t="s">
        <v>72</v>
      </c>
      <c r="F26" s="4" t="s">
        <v>94</v>
      </c>
      <c r="G26" s="4" t="s">
        <v>92</v>
      </c>
    </row>
    <row r="27" customFormat="false" ht="28.35" hidden="false" customHeight="false" outlineLevel="0" collapsed="false">
      <c r="A27" s="4" t="s">
        <v>95</v>
      </c>
      <c r="B27" s="7" t="n">
        <v>3.3</v>
      </c>
      <c r="C27" s="4" t="s">
        <v>49</v>
      </c>
      <c r="D27" s="4" t="s">
        <v>11</v>
      </c>
      <c r="E27" s="4" t="s">
        <v>84</v>
      </c>
      <c r="F27" s="4" t="s">
        <v>96</v>
      </c>
      <c r="G27" s="4" t="s">
        <v>92</v>
      </c>
    </row>
    <row r="28" customFormat="false" ht="15" hidden="false" customHeight="false" outlineLevel="0" collapsed="false">
      <c r="A28" s="4" t="s">
        <v>97</v>
      </c>
      <c r="B28" s="5" t="n">
        <v>0.05</v>
      </c>
      <c r="C28" s="4" t="s">
        <v>98</v>
      </c>
      <c r="D28" s="4" t="s">
        <v>21</v>
      </c>
      <c r="E28" s="4" t="s">
        <v>99</v>
      </c>
      <c r="F28" s="4" t="s">
        <v>100</v>
      </c>
      <c r="G28" s="4" t="s">
        <v>101</v>
      </c>
    </row>
    <row r="29" customFormat="false" ht="15" hidden="false" customHeight="false" outlineLevel="0" collapsed="false">
      <c r="A29" s="4" t="s">
        <v>102</v>
      </c>
      <c r="B29" s="5" t="n">
        <v>7</v>
      </c>
      <c r="C29" s="4" t="s">
        <v>10</v>
      </c>
      <c r="D29" s="4" t="s">
        <v>21</v>
      </c>
      <c r="E29" s="4" t="s">
        <v>99</v>
      </c>
      <c r="F29" s="4" t="s">
        <v>103</v>
      </c>
      <c r="G29" s="4" t="s">
        <v>104</v>
      </c>
    </row>
    <row r="30" customFormat="false" ht="15" hidden="false" customHeight="false" outlineLevel="0" collapsed="false">
      <c r="A30" s="4" t="s">
        <v>105</v>
      </c>
      <c r="B30" s="9" t="n">
        <v>32.5</v>
      </c>
      <c r="C30" s="4" t="s">
        <v>66</v>
      </c>
      <c r="D30" s="4" t="s">
        <v>106</v>
      </c>
      <c r="E30" s="4" t="s">
        <v>107</v>
      </c>
      <c r="F30" s="4" t="s">
        <v>108</v>
      </c>
      <c r="G30" s="4" t="s">
        <v>109</v>
      </c>
    </row>
    <row r="31" customFormat="false" ht="15" hidden="false" customHeight="false" outlineLevel="0" collapsed="false">
      <c r="A31" s="4" t="s">
        <v>110</v>
      </c>
      <c r="B31" s="9" t="n">
        <v>11.17</v>
      </c>
      <c r="C31" s="4" t="s">
        <v>66</v>
      </c>
      <c r="D31" s="4" t="s">
        <v>106</v>
      </c>
      <c r="E31" s="4" t="s">
        <v>107</v>
      </c>
      <c r="F31" s="4" t="s">
        <v>111</v>
      </c>
      <c r="G31" s="4" t="s">
        <v>112</v>
      </c>
    </row>
    <row r="32" customFormat="false" ht="15" hidden="false" customHeight="false" outlineLevel="0" collapsed="false">
      <c r="A32" s="4" t="s">
        <v>113</v>
      </c>
      <c r="B32" s="9" t="n">
        <v>21.33</v>
      </c>
      <c r="C32" s="4" t="s">
        <v>66</v>
      </c>
      <c r="D32" s="4" t="s">
        <v>106</v>
      </c>
      <c r="E32" s="4" t="s">
        <v>107</v>
      </c>
      <c r="F32" s="4" t="s">
        <v>114</v>
      </c>
      <c r="G32" s="4" t="s">
        <v>115</v>
      </c>
    </row>
  </sheetData>
  <autoFilter ref="A4:G32"/>
  <mergeCells count="2">
    <mergeCell ref="A1:G1"/>
    <mergeCell ref="A2:G2"/>
  </mergeCells>
  <printOptions headings="false" gridLines="false" gridLinesSet="true" horizontalCentered="tru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&amp;CFIN3-WKN-152 | 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5"/>
    <col collapsed="false" customWidth="true" hidden="false" outlineLevel="0" max="3" min="3" style="0" width="12"/>
    <col collapsed="false" customWidth="true" hidden="false" outlineLevel="0" max="4" min="4" style="0" width="48"/>
    <col collapsed="false" customWidth="true" hidden="false" outlineLevel="0" max="5" min="5" style="0" width="14"/>
    <col collapsed="false" customWidth="true" hidden="false" outlineLevel="0" max="6" min="6" style="0" width="72"/>
    <col collapsed="false" customWidth="true" hidden="false" outlineLevel="0" max="7" min="7" style="0" width="38"/>
  </cols>
  <sheetData>
    <row r="1" customFormat="false" ht="19.7" hidden="false" customHeight="false" outlineLevel="0" collapsed="false">
      <c r="A1" s="1" t="s">
        <v>116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117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118</v>
      </c>
      <c r="B4" s="3" t="s">
        <v>119</v>
      </c>
      <c r="C4" s="3" t="s">
        <v>4</v>
      </c>
      <c r="D4" s="3" t="s">
        <v>120</v>
      </c>
      <c r="E4" s="3" t="s">
        <v>6</v>
      </c>
      <c r="F4" s="3" t="s">
        <v>121</v>
      </c>
      <c r="G4" s="3" t="s">
        <v>122</v>
      </c>
    </row>
    <row r="5" customFormat="false" ht="15" hidden="false" customHeight="false" outlineLevel="0" collapsed="false">
      <c r="A5" s="4" t="s">
        <v>123</v>
      </c>
      <c r="B5" s="10" t="n">
        <f aca="false">Inputs!$B$8</f>
        <v>-69.275</v>
      </c>
      <c r="C5" s="4" t="s">
        <v>10</v>
      </c>
      <c r="D5" s="4" t="s">
        <v>29</v>
      </c>
      <c r="E5" s="4" t="s">
        <v>27</v>
      </c>
      <c r="F5" s="4" t="s">
        <v>28</v>
      </c>
      <c r="G5" s="4" t="s">
        <v>124</v>
      </c>
    </row>
    <row r="6" customFormat="false" ht="15" hidden="false" customHeight="false" outlineLevel="0" collapsed="false">
      <c r="A6" s="4" t="s">
        <v>125</v>
      </c>
      <c r="B6" s="10" t="n">
        <f aca="false">-Inputs!$B$9</f>
        <v>-49.086</v>
      </c>
      <c r="C6" s="4" t="s">
        <v>10</v>
      </c>
      <c r="D6" s="4" t="s">
        <v>126</v>
      </c>
      <c r="E6" s="4" t="s">
        <v>27</v>
      </c>
      <c r="F6" s="4" t="s">
        <v>31</v>
      </c>
      <c r="G6" s="4" t="s">
        <v>127</v>
      </c>
    </row>
    <row r="7" customFormat="false" ht="28.35" hidden="false" customHeight="false" outlineLevel="0" collapsed="false">
      <c r="A7" s="4" t="s">
        <v>128</v>
      </c>
      <c r="B7" s="10" t="n">
        <f aca="false">0</f>
        <v>0</v>
      </c>
      <c r="C7" s="4" t="s">
        <v>10</v>
      </c>
      <c r="D7" s="4" t="s">
        <v>129</v>
      </c>
      <c r="E7" s="4" t="s">
        <v>34</v>
      </c>
      <c r="F7" s="4" t="s">
        <v>130</v>
      </c>
      <c r="G7" s="4" t="s">
        <v>131</v>
      </c>
    </row>
    <row r="8" customFormat="false" ht="28.35" hidden="false" customHeight="false" outlineLevel="0" collapsed="false">
      <c r="A8" s="11" t="s">
        <v>132</v>
      </c>
      <c r="B8" s="12" t="n">
        <f aca="false">SUM(B5:B7)</f>
        <v>-118.361</v>
      </c>
      <c r="C8" s="4" t="s">
        <v>10</v>
      </c>
      <c r="D8" s="4" t="s">
        <v>133</v>
      </c>
      <c r="E8" s="4" t="s">
        <v>134</v>
      </c>
      <c r="F8" s="4" t="s">
        <v>135</v>
      </c>
      <c r="G8" s="4" t="s">
        <v>136</v>
      </c>
    </row>
    <row r="9" customFormat="false" ht="15" hidden="false" customHeight="false" outlineLevel="0" collapsed="false">
      <c r="A9" s="4" t="s">
        <v>137</v>
      </c>
      <c r="B9" s="10" t="n">
        <f aca="false">Inputs!$B$11</f>
        <v>-84.838</v>
      </c>
      <c r="C9" s="4" t="s">
        <v>10</v>
      </c>
      <c r="D9" s="4" t="s">
        <v>138</v>
      </c>
      <c r="E9" s="4" t="s">
        <v>38</v>
      </c>
      <c r="F9" s="4" t="s">
        <v>39</v>
      </c>
      <c r="G9" s="4" t="s">
        <v>139</v>
      </c>
    </row>
  </sheetData>
  <autoFilter ref="A4:G9"/>
  <mergeCells count="2">
    <mergeCell ref="A1:G1"/>
    <mergeCell ref="A2:G2"/>
  </mergeCells>
  <printOptions headings="false" gridLines="false" gridLinesSet="true" horizontalCentered="tru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&amp;CFIN3-WKN-152 | 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6"/>
    <col collapsed="false" customWidth="true" hidden="false" outlineLevel="0" max="4" min="2" style="0" width="16"/>
    <col collapsed="false" customWidth="true" hidden="false" outlineLevel="0" max="5" min="5" style="0" width="42"/>
  </cols>
  <sheetData>
    <row r="1" customFormat="false" ht="19.7" hidden="false" customHeight="false" outlineLevel="0" collapsed="false">
      <c r="A1" s="1" t="s">
        <v>140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141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142</v>
      </c>
      <c r="B4" s="3" t="s">
        <v>143</v>
      </c>
      <c r="C4" s="3" t="s">
        <v>144</v>
      </c>
      <c r="D4" s="3" t="s">
        <v>145</v>
      </c>
      <c r="E4" s="3" t="s">
        <v>146</v>
      </c>
    </row>
    <row r="5" customFormat="false" ht="15" hidden="false" customHeight="false" outlineLevel="0" collapsed="false">
      <c r="A5" s="4" t="s">
        <v>147</v>
      </c>
      <c r="B5" s="10" t="n">
        <f aca="false">Inputs!$B$6</f>
        <v>804.029</v>
      </c>
      <c r="C5" s="10" t="n">
        <f aca="false">Inputs!$B$6</f>
        <v>804.029</v>
      </c>
      <c r="D5" s="10" t="n">
        <f aca="false">Inputs!$B$6</f>
        <v>804.029</v>
      </c>
      <c r="E5" s="4" t="s">
        <v>11</v>
      </c>
    </row>
    <row r="6" customFormat="false" ht="15" hidden="false" customHeight="false" outlineLevel="0" collapsed="false">
      <c r="A6" s="4" t="s">
        <v>148</v>
      </c>
      <c r="B6" s="13" t="n">
        <f aca="false">Inputs!$B$7</f>
        <v>0.22</v>
      </c>
      <c r="C6" s="13" t="n">
        <f aca="false">Inputs!$B$7</f>
        <v>0.22</v>
      </c>
      <c r="D6" s="13" t="n">
        <f aca="false">Inputs!$B$7</f>
        <v>0.22</v>
      </c>
      <c r="E6" s="4" t="s">
        <v>149</v>
      </c>
    </row>
    <row r="7" customFormat="false" ht="15" hidden="false" customHeight="false" outlineLevel="0" collapsed="false">
      <c r="A7" s="4" t="s">
        <v>150</v>
      </c>
      <c r="B7" s="10" t="n">
        <f aca="false">B5*(1+B6)</f>
        <v>980.91538</v>
      </c>
      <c r="C7" s="10" t="n">
        <f aca="false">C5*(1+C6)</f>
        <v>980.91538</v>
      </c>
      <c r="D7" s="10" t="n">
        <f aca="false">D5*(1+D6)</f>
        <v>980.91538</v>
      </c>
      <c r="E7" s="4" t="s">
        <v>151</v>
      </c>
    </row>
    <row r="8" customFormat="false" ht="15" hidden="false" customHeight="false" outlineLevel="0" collapsed="false">
      <c r="A8" s="4" t="s">
        <v>152</v>
      </c>
      <c r="B8" s="14" t="n">
        <f aca="false">Inputs!$B$15</f>
        <v>4</v>
      </c>
      <c r="C8" s="14" t="n">
        <f aca="false">Inputs!$B$16</f>
        <v>4.5</v>
      </c>
      <c r="D8" s="14" t="n">
        <f aca="false">Inputs!$B$17</f>
        <v>5</v>
      </c>
      <c r="E8" s="4" t="s">
        <v>153</v>
      </c>
    </row>
    <row r="9" customFormat="false" ht="15" hidden="false" customHeight="false" outlineLevel="0" collapsed="false">
      <c r="A9" s="4" t="s">
        <v>154</v>
      </c>
      <c r="B9" s="10" t="n">
        <f aca="false">B7*B8</f>
        <v>3923.66152</v>
      </c>
      <c r="C9" s="10" t="n">
        <f aca="false">C7*C8</f>
        <v>4414.11921</v>
      </c>
      <c r="D9" s="10" t="n">
        <f aca="false">D7*D8</f>
        <v>4904.5769</v>
      </c>
      <c r="E9" s="4" t="s">
        <v>155</v>
      </c>
    </row>
    <row r="10" customFormat="false" ht="15" hidden="false" customHeight="false" outlineLevel="0" collapsed="false">
      <c r="A10" s="4" t="s">
        <v>156</v>
      </c>
      <c r="B10" s="10" t="n">
        <f aca="false">Inputs!$B$12</f>
        <v>401.176</v>
      </c>
      <c r="C10" s="10" t="n">
        <f aca="false">Inputs!$B$12</f>
        <v>401.176</v>
      </c>
      <c r="D10" s="10" t="n">
        <f aca="false">Inputs!$B$12</f>
        <v>401.176</v>
      </c>
      <c r="E10" s="4" t="s">
        <v>42</v>
      </c>
    </row>
    <row r="11" customFormat="false" ht="15" hidden="false" customHeight="false" outlineLevel="0" collapsed="false">
      <c r="A11" s="4" t="s">
        <v>157</v>
      </c>
      <c r="B11" s="10" t="n">
        <f aca="false">Inputs!$B$13</f>
        <v>811.946</v>
      </c>
      <c r="C11" s="10" t="n">
        <f aca="false">Inputs!$B$13</f>
        <v>811.946</v>
      </c>
      <c r="D11" s="10" t="n">
        <f aca="false">Inputs!$B$13</f>
        <v>811.946</v>
      </c>
      <c r="E11" s="4" t="s">
        <v>42</v>
      </c>
    </row>
    <row r="12" customFormat="false" ht="15" hidden="false" customHeight="false" outlineLevel="0" collapsed="false">
      <c r="A12" s="4" t="s">
        <v>158</v>
      </c>
      <c r="B12" s="10" t="n">
        <f aca="false">SUM(B9:B11)</f>
        <v>5136.78352</v>
      </c>
      <c r="C12" s="10" t="n">
        <f aca="false">SUM(C9:C11)</f>
        <v>5627.24121</v>
      </c>
      <c r="D12" s="10" t="n">
        <f aca="false">SUM(D9:D11)</f>
        <v>6117.6989</v>
      </c>
      <c r="E12" s="4" t="s">
        <v>159</v>
      </c>
    </row>
    <row r="13" customFormat="false" ht="15" hidden="false" customHeight="false" outlineLevel="0" collapsed="false">
      <c r="A13" s="4" t="s">
        <v>160</v>
      </c>
      <c r="B13" s="15" t="n">
        <f aca="false">Inputs!$B$14</f>
        <v>143.716563</v>
      </c>
      <c r="C13" s="15" t="n">
        <f aca="false">Inputs!$B$14</f>
        <v>143.716563</v>
      </c>
      <c r="D13" s="15" t="n">
        <f aca="false">Inputs!$B$14</f>
        <v>143.716563</v>
      </c>
      <c r="E13" s="4" t="s">
        <v>49</v>
      </c>
    </row>
    <row r="14" customFormat="false" ht="15" hidden="false" customHeight="false" outlineLevel="0" collapsed="false">
      <c r="A14" s="4" t="s">
        <v>161</v>
      </c>
      <c r="B14" s="16" t="n">
        <f aca="false">B12/B13</f>
        <v>35.7424601087907</v>
      </c>
      <c r="C14" s="16" t="n">
        <f aca="false">C12/C13</f>
        <v>39.1551334970347</v>
      </c>
      <c r="D14" s="16" t="n">
        <f aca="false">D12/D13</f>
        <v>42.5678068852788</v>
      </c>
      <c r="E14" s="4" t="s">
        <v>162</v>
      </c>
    </row>
    <row r="15" customFormat="false" ht="15" hidden="false" customHeight="false" outlineLevel="0" collapsed="false">
      <c r="A15" s="4" t="s">
        <v>163</v>
      </c>
      <c r="B15" s="13" t="n">
        <f aca="false">Inputs!$B$18</f>
        <v>0.125</v>
      </c>
      <c r="C15" s="13" t="n">
        <f aca="false">Inputs!$B$18</f>
        <v>0.125</v>
      </c>
      <c r="D15" s="13" t="n">
        <f aca="false">Inputs!$B$18</f>
        <v>0.125</v>
      </c>
      <c r="E15" s="4" t="s">
        <v>62</v>
      </c>
    </row>
    <row r="16" customFormat="false" ht="15" hidden="false" customHeight="false" outlineLevel="0" collapsed="false">
      <c r="A16" s="17" t="s">
        <v>164</v>
      </c>
      <c r="B16" s="18" t="n">
        <f aca="false">B14*(1-B15)</f>
        <v>31.2746525951918</v>
      </c>
      <c r="C16" s="18" t="n">
        <f aca="false">C14*(1-C15)</f>
        <v>34.2607418099054</v>
      </c>
      <c r="D16" s="18" t="n">
        <f aca="false">D14*(1-D15)</f>
        <v>37.2468310246189</v>
      </c>
      <c r="E16" s="17" t="s">
        <v>165</v>
      </c>
    </row>
  </sheetData>
  <autoFilter ref="A4:E16"/>
  <mergeCells count="2">
    <mergeCell ref="A1:E1"/>
    <mergeCell ref="A2:E2"/>
  </mergeCells>
  <printOptions headings="false" gridLines="false" gridLinesSet="true" horizontalCentered="tru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&amp;CFIN3-WKN-152 | Page &amp;P of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21"/>
    <col collapsed="false" customWidth="true" hidden="false" outlineLevel="0" max="6" min="2" style="0" width="15"/>
    <col collapsed="false" customWidth="true" hidden="false" outlineLevel="0" max="7" min="7" style="0" width="24"/>
  </cols>
  <sheetData>
    <row r="1" customFormat="false" ht="19.7" hidden="false" customHeight="false" outlineLevel="0" collapsed="false">
      <c r="A1" s="1" t="s">
        <v>166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167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168</v>
      </c>
      <c r="B4" s="19" t="n">
        <v>4</v>
      </c>
      <c r="C4" s="19" t="n">
        <v>4.3</v>
      </c>
      <c r="D4" s="19" t="n">
        <v>4.5</v>
      </c>
      <c r="E4" s="19" t="n">
        <v>4.8</v>
      </c>
      <c r="F4" s="19" t="n">
        <v>5</v>
      </c>
      <c r="G4" s="3" t="s">
        <v>169</v>
      </c>
    </row>
    <row r="5" customFormat="false" ht="15" hidden="false" customHeight="false" outlineLevel="0" collapsed="false">
      <c r="A5" s="20" t="n">
        <v>0.18</v>
      </c>
      <c r="B5" s="16" t="n">
        <f aca="false">(Inputs!$B$6*(1+$A5)*B$4+Inputs!$B$12+Inputs!$B$13)/Inputs!$B$14*(1-Inputs!$B$18)</f>
        <v>30.4914160798571</v>
      </c>
      <c r="C5" s="16" t="n">
        <f aca="false">(Inputs!$B$6*(1+$A5)*C$4+Inputs!$B$12+Inputs!$B$13)/Inputs!$B$14*(1-Inputs!$B$18)</f>
        <v>32.2243268700352</v>
      </c>
      <c r="D5" s="16" t="n">
        <f aca="false">(Inputs!$B$6*(1+$A5)*D$4+Inputs!$B$12+Inputs!$B$13)/Inputs!$B$14*(1-Inputs!$B$18)</f>
        <v>33.3796007301538</v>
      </c>
      <c r="E5" s="16" t="n">
        <f aca="false">(Inputs!$B$6*(1+$A5)*E$4+Inputs!$B$12+Inputs!$B$13)/Inputs!$B$14*(1-Inputs!$B$18)</f>
        <v>35.1125115203319</v>
      </c>
      <c r="F5" s="16" t="n">
        <f aca="false">(Inputs!$B$6*(1+$A5)*F$4+Inputs!$B$12+Inputs!$B$13)/Inputs!$B$14*(1-Inputs!$B$18)</f>
        <v>36.2677853804506</v>
      </c>
      <c r="G5" s="4" t="s">
        <v>170</v>
      </c>
    </row>
    <row r="6" customFormat="false" ht="15" hidden="false" customHeight="false" outlineLevel="0" collapsed="false">
      <c r="A6" s="20" t="n">
        <v>0.2</v>
      </c>
      <c r="B6" s="16" t="n">
        <f aca="false">(Inputs!$B$6*(1+$A6)*B$4+Inputs!$B$12+Inputs!$B$13)/Inputs!$B$14*(1-Inputs!$B$18)</f>
        <v>30.8830343375245</v>
      </c>
      <c r="C6" s="16" t="n">
        <f aca="false">(Inputs!$B$6*(1+$A6)*C$4+Inputs!$B$12+Inputs!$B$13)/Inputs!$B$14*(1-Inputs!$B$18)</f>
        <v>32.6453164970276</v>
      </c>
      <c r="D6" s="16" t="n">
        <f aca="false">(Inputs!$B$6*(1+$A6)*D$4+Inputs!$B$12+Inputs!$B$13)/Inputs!$B$14*(1-Inputs!$B$18)</f>
        <v>33.8201712700296</v>
      </c>
      <c r="E6" s="16" t="n">
        <f aca="false">(Inputs!$B$6*(1+$A6)*E$4+Inputs!$B$12+Inputs!$B$13)/Inputs!$B$14*(1-Inputs!$B$18)</f>
        <v>35.5824534295327</v>
      </c>
      <c r="F6" s="16" t="n">
        <f aca="false">(Inputs!$B$6*(1+$A6)*F$4+Inputs!$B$12+Inputs!$B$13)/Inputs!$B$14*(1-Inputs!$B$18)</f>
        <v>36.7573082025347</v>
      </c>
      <c r="G6" s="4" t="s">
        <v>170</v>
      </c>
    </row>
    <row r="7" customFormat="false" ht="15" hidden="false" customHeight="false" outlineLevel="0" collapsed="false">
      <c r="A7" s="20" t="n">
        <v>0.22</v>
      </c>
      <c r="B7" s="16" t="n">
        <f aca="false">(Inputs!$B$6*(1+$A7)*B$4+Inputs!$B$12+Inputs!$B$13)/Inputs!$B$14*(1-Inputs!$B$18)</f>
        <v>31.2746525951918</v>
      </c>
      <c r="C7" s="16" t="n">
        <f aca="false">(Inputs!$B$6*(1+$A7)*C$4+Inputs!$B$12+Inputs!$B$13)/Inputs!$B$14*(1-Inputs!$B$18)</f>
        <v>33.06630612402</v>
      </c>
      <c r="D7" s="21" t="n">
        <f aca="false">(Inputs!$B$6*(1+$A7)*D$4+Inputs!$B$12+Inputs!$B$13)/Inputs!$B$14*(1-Inputs!$B$18)</f>
        <v>34.2607418099054</v>
      </c>
      <c r="E7" s="16" t="n">
        <f aca="false">(Inputs!$B$6*(1+$A7)*E$4+Inputs!$B$12+Inputs!$B$13)/Inputs!$B$14*(1-Inputs!$B$18)</f>
        <v>36.0523953387335</v>
      </c>
      <c r="F7" s="16" t="n">
        <f aca="false">(Inputs!$B$6*(1+$A7)*F$4+Inputs!$B$12+Inputs!$B$13)/Inputs!$B$14*(1-Inputs!$B$18)</f>
        <v>37.2468310246189</v>
      </c>
      <c r="G7" s="4" t="s">
        <v>171</v>
      </c>
    </row>
    <row r="8" customFormat="false" ht="15" hidden="false" customHeight="false" outlineLevel="0" collapsed="false">
      <c r="A8" s="20" t="n">
        <v>0.24</v>
      </c>
      <c r="B8" s="16" t="n">
        <f aca="false">(Inputs!$B$6*(1+$A8)*B$4+Inputs!$B$12+Inputs!$B$13)/Inputs!$B$14*(1-Inputs!$B$18)</f>
        <v>31.6662708528592</v>
      </c>
      <c r="C8" s="16" t="n">
        <f aca="false">(Inputs!$B$6*(1+$A8)*C$4+Inputs!$B$12+Inputs!$B$13)/Inputs!$B$14*(1-Inputs!$B$18)</f>
        <v>33.4872957510124</v>
      </c>
      <c r="D8" s="16" t="n">
        <f aca="false">(Inputs!$B$6*(1+$A8)*D$4+Inputs!$B$12+Inputs!$B$13)/Inputs!$B$14*(1-Inputs!$B$18)</f>
        <v>34.7013123497812</v>
      </c>
      <c r="E8" s="16" t="n">
        <f aca="false">(Inputs!$B$6*(1+$A8)*E$4+Inputs!$B$12+Inputs!$B$13)/Inputs!$B$14*(1-Inputs!$B$18)</f>
        <v>36.5223372479343</v>
      </c>
      <c r="F8" s="16" t="n">
        <f aca="false">(Inputs!$B$6*(1+$A8)*F$4+Inputs!$B$12+Inputs!$B$13)/Inputs!$B$14*(1-Inputs!$B$18)</f>
        <v>37.7363538467031</v>
      </c>
      <c r="G8" s="4" t="s">
        <v>170</v>
      </c>
    </row>
    <row r="9" customFormat="false" ht="15" hidden="false" customHeight="false" outlineLevel="0" collapsed="false">
      <c r="A9" s="20" t="n">
        <v>0.26</v>
      </c>
      <c r="B9" s="16" t="n">
        <f aca="false">(Inputs!$B$6*(1+$A9)*B$4+Inputs!$B$12+Inputs!$B$13)/Inputs!$B$14*(1-Inputs!$B$18)</f>
        <v>32.0578891105265</v>
      </c>
      <c r="C9" s="16" t="n">
        <f aca="false">(Inputs!$B$6*(1+$A9)*C$4+Inputs!$B$12+Inputs!$B$13)/Inputs!$B$14*(1-Inputs!$B$18)</f>
        <v>33.9082853780048</v>
      </c>
      <c r="D9" s="16" t="n">
        <f aca="false">(Inputs!$B$6*(1+$A9)*D$4+Inputs!$B$12+Inputs!$B$13)/Inputs!$B$14*(1-Inputs!$B$18)</f>
        <v>35.1418828896569</v>
      </c>
      <c r="E9" s="16" t="n">
        <f aca="false">(Inputs!$B$6*(1+$A9)*E$4+Inputs!$B$12+Inputs!$B$13)/Inputs!$B$14*(1-Inputs!$B$18)</f>
        <v>36.9922791571351</v>
      </c>
      <c r="F9" s="16" t="n">
        <f aca="false">(Inputs!$B$6*(1+$A9)*F$4+Inputs!$B$12+Inputs!$B$13)/Inputs!$B$14*(1-Inputs!$B$18)</f>
        <v>38.2258766687873</v>
      </c>
      <c r="G9" s="4" t="s">
        <v>170</v>
      </c>
    </row>
    <row r="10" customFormat="false" ht="15" hidden="false" customHeight="false" outlineLevel="0" collapsed="false">
      <c r="A10" s="4"/>
      <c r="B10" s="4"/>
      <c r="C10" s="4"/>
      <c r="D10" s="4"/>
      <c r="E10" s="4"/>
      <c r="F10" s="4"/>
      <c r="G10" s="4"/>
    </row>
    <row r="11" customFormat="false" ht="15" hidden="false" customHeight="false" outlineLevel="0" collapsed="false">
      <c r="A11" s="4"/>
      <c r="B11" s="4"/>
      <c r="C11" s="4"/>
      <c r="D11" s="4"/>
      <c r="E11" s="4"/>
      <c r="F11" s="4"/>
      <c r="G11" s="4"/>
    </row>
    <row r="12" customFormat="false" ht="15" hidden="false" customHeight="false" outlineLevel="0" collapsed="false">
      <c r="A12" s="22" t="s">
        <v>172</v>
      </c>
      <c r="B12" s="22" t="s">
        <v>173</v>
      </c>
      <c r="C12" s="22" t="s">
        <v>174</v>
      </c>
      <c r="D12" s="22" t="s">
        <v>175</v>
      </c>
      <c r="E12" s="22" t="s">
        <v>176</v>
      </c>
      <c r="F12" s="22" t="s">
        <v>6</v>
      </c>
      <c r="G12" s="22" t="s">
        <v>177</v>
      </c>
    </row>
    <row r="13" customFormat="false" ht="15" hidden="false" customHeight="false" outlineLevel="0" collapsed="false">
      <c r="A13" s="4" t="s">
        <v>143</v>
      </c>
      <c r="B13" s="13" t="n">
        <f aca="false">Inputs!$B$7</f>
        <v>0.22</v>
      </c>
      <c r="C13" s="14" t="n">
        <f aca="false">Inputs!$B$15</f>
        <v>4</v>
      </c>
      <c r="D13" s="16" t="n">
        <f aca="false">Valuation!B16</f>
        <v>31.2746525951918</v>
      </c>
      <c r="E13" s="4" t="s">
        <v>178</v>
      </c>
      <c r="F13" s="4" t="s">
        <v>179</v>
      </c>
      <c r="G13" s="4" t="s">
        <v>180</v>
      </c>
    </row>
    <row r="14" customFormat="false" ht="15" hidden="false" customHeight="false" outlineLevel="0" collapsed="false">
      <c r="A14" s="4" t="s">
        <v>144</v>
      </c>
      <c r="B14" s="13" t="n">
        <f aca="false">Inputs!$B$7</f>
        <v>0.22</v>
      </c>
      <c r="C14" s="14" t="n">
        <f aca="false">Inputs!$B$16</f>
        <v>4.5</v>
      </c>
      <c r="D14" s="16" t="n">
        <f aca="false">Valuation!C16</f>
        <v>34.2607418099054</v>
      </c>
      <c r="E14" s="4" t="s">
        <v>181</v>
      </c>
      <c r="F14" s="4" t="s">
        <v>179</v>
      </c>
      <c r="G14" s="4" t="s">
        <v>180</v>
      </c>
    </row>
    <row r="15" customFormat="false" ht="15" hidden="false" customHeight="false" outlineLevel="0" collapsed="false">
      <c r="A15" s="4" t="s">
        <v>145</v>
      </c>
      <c r="B15" s="13" t="n">
        <f aca="false">Inputs!$B$7</f>
        <v>0.22</v>
      </c>
      <c r="C15" s="14" t="n">
        <f aca="false">Inputs!$B$17</f>
        <v>5</v>
      </c>
      <c r="D15" s="16" t="n">
        <f aca="false">Valuation!D16</f>
        <v>37.2468310246189</v>
      </c>
      <c r="E15" s="4" t="s">
        <v>178</v>
      </c>
      <c r="F15" s="4" t="s">
        <v>179</v>
      </c>
      <c r="G15" s="4" t="s">
        <v>180</v>
      </c>
    </row>
  </sheetData>
  <autoFilter ref="A4:G15"/>
  <mergeCells count="2">
    <mergeCell ref="A1:G1"/>
    <mergeCell ref="A2:G2"/>
  </mergeCells>
  <printOptions headings="false" gridLines="false" gridLinesSet="true" horizontalCentered="tru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&amp;CFIN3-WKN-152 | Page &amp;P of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4" min="2" style="0" width="18"/>
    <col collapsed="false" customWidth="true" hidden="false" outlineLevel="0" max="5" min="5" style="0" width="48"/>
  </cols>
  <sheetData>
    <row r="1" customFormat="false" ht="19.7" hidden="false" customHeight="false" outlineLevel="0" collapsed="false">
      <c r="A1" s="1" t="s">
        <v>182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183</v>
      </c>
      <c r="B2" s="2"/>
      <c r="C2" s="2"/>
      <c r="D2" s="2"/>
      <c r="E2" s="2"/>
    </row>
    <row r="4" customFormat="false" ht="15" hidden="false" customHeight="false" outlineLevel="0" collapsed="false">
      <c r="A4" s="3" t="s">
        <v>118</v>
      </c>
      <c r="B4" s="3" t="s">
        <v>181</v>
      </c>
      <c r="C4" s="3" t="s">
        <v>184</v>
      </c>
      <c r="D4" s="3" t="s">
        <v>4</v>
      </c>
      <c r="E4" s="3" t="s">
        <v>185</v>
      </c>
    </row>
    <row r="5" customFormat="false" ht="15" hidden="false" customHeight="false" outlineLevel="0" collapsed="false">
      <c r="A5" s="4" t="s">
        <v>186</v>
      </c>
      <c r="B5" s="16" t="n">
        <f aca="false">Inputs!$B$19</f>
        <v>34</v>
      </c>
      <c r="C5" s="16" t="n">
        <f aca="false">Inputs!$B$19</f>
        <v>34</v>
      </c>
      <c r="D5" s="4" t="s">
        <v>66</v>
      </c>
      <c r="E5" s="4" t="s">
        <v>187</v>
      </c>
    </row>
    <row r="6" customFormat="false" ht="15" hidden="false" customHeight="false" outlineLevel="0" collapsed="false">
      <c r="A6" s="4" t="s">
        <v>188</v>
      </c>
      <c r="B6" s="15" t="n">
        <f aca="false">Inputs!$B$20</f>
        <v>15.276527</v>
      </c>
      <c r="C6" s="15" t="n">
        <f aca="false">Inputs!$B$20+Inputs!$B$24</f>
        <v>18.576527</v>
      </c>
      <c r="D6" s="4" t="s">
        <v>49</v>
      </c>
      <c r="E6" s="4" t="s">
        <v>76</v>
      </c>
    </row>
    <row r="7" customFormat="false" ht="15" hidden="false" customHeight="false" outlineLevel="0" collapsed="false">
      <c r="A7" s="4" t="s">
        <v>189</v>
      </c>
      <c r="B7" s="15" t="n">
        <f aca="false">Inputs!$B$22</f>
        <v>6.723473</v>
      </c>
      <c r="C7" s="15" t="n">
        <f aca="false">Inputs!$B$22</f>
        <v>6.723473</v>
      </c>
      <c r="D7" s="4" t="s">
        <v>49</v>
      </c>
      <c r="E7" s="4" t="s">
        <v>190</v>
      </c>
    </row>
    <row r="8" customFormat="false" ht="15" hidden="false" customHeight="false" outlineLevel="0" collapsed="false">
      <c r="A8" s="4" t="s">
        <v>191</v>
      </c>
      <c r="B8" s="15" t="n">
        <f aca="false">0</f>
        <v>0</v>
      </c>
      <c r="C8" s="15" t="n">
        <f aca="false">Inputs!$B$24</f>
        <v>3.3</v>
      </c>
      <c r="D8" s="4" t="s">
        <v>49</v>
      </c>
      <c r="E8" s="4" t="s">
        <v>192</v>
      </c>
    </row>
    <row r="9" customFormat="false" ht="15" hidden="false" customHeight="false" outlineLevel="0" collapsed="false">
      <c r="A9" s="4" t="s">
        <v>193</v>
      </c>
      <c r="B9" s="15" t="n">
        <f aca="false">B6+B7</f>
        <v>22</v>
      </c>
      <c r="C9" s="15" t="n">
        <f aca="false">C6+C7</f>
        <v>25.3</v>
      </c>
      <c r="D9" s="4" t="s">
        <v>49</v>
      </c>
      <c r="E9" s="4" t="s">
        <v>194</v>
      </c>
    </row>
    <row r="10" customFormat="false" ht="15" hidden="false" customHeight="false" outlineLevel="0" collapsed="false">
      <c r="A10" s="4" t="s">
        <v>195</v>
      </c>
      <c r="B10" s="10" t="n">
        <f aca="false">B5*B6</f>
        <v>519.401918</v>
      </c>
      <c r="C10" s="10" t="n">
        <f aca="false">C5*C6</f>
        <v>631.601918</v>
      </c>
      <c r="D10" s="4" t="s">
        <v>10</v>
      </c>
      <c r="E10" s="4" t="s">
        <v>196</v>
      </c>
    </row>
    <row r="11" customFormat="false" ht="15" hidden="false" customHeight="false" outlineLevel="0" collapsed="false">
      <c r="A11" s="4" t="s">
        <v>197</v>
      </c>
      <c r="B11" s="13" t="n">
        <f aca="false">Inputs!$B$28</f>
        <v>0.05</v>
      </c>
      <c r="C11" s="13" t="n">
        <f aca="false">Inputs!$B$28</f>
        <v>0.05</v>
      </c>
      <c r="D11" s="4" t="s">
        <v>98</v>
      </c>
      <c r="E11" s="4" t="s">
        <v>99</v>
      </c>
    </row>
    <row r="12" customFormat="false" ht="15" hidden="false" customHeight="false" outlineLevel="0" collapsed="false">
      <c r="A12" s="4" t="s">
        <v>198</v>
      </c>
      <c r="B12" s="10" t="n">
        <f aca="false">B10*B11</f>
        <v>25.9700959</v>
      </c>
      <c r="C12" s="10" t="n">
        <f aca="false">C10*C11</f>
        <v>31.5800959</v>
      </c>
      <c r="D12" s="4" t="s">
        <v>10</v>
      </c>
      <c r="E12" s="4" t="s">
        <v>199</v>
      </c>
    </row>
    <row r="13" customFormat="false" ht="15" hidden="false" customHeight="false" outlineLevel="0" collapsed="false">
      <c r="A13" s="4" t="s">
        <v>200</v>
      </c>
      <c r="B13" s="10" t="n">
        <f aca="false">Inputs!$B$29</f>
        <v>7</v>
      </c>
      <c r="C13" s="10" t="n">
        <f aca="false">Inputs!$B$29</f>
        <v>7</v>
      </c>
      <c r="D13" s="4" t="s">
        <v>10</v>
      </c>
      <c r="E13" s="4" t="s">
        <v>201</v>
      </c>
    </row>
    <row r="14" customFormat="false" ht="15" hidden="false" customHeight="false" outlineLevel="0" collapsed="false">
      <c r="A14" s="17" t="s">
        <v>202</v>
      </c>
      <c r="B14" s="23" t="n">
        <f aca="false">B10-B12-B13</f>
        <v>486.4318221</v>
      </c>
      <c r="C14" s="23" t="n">
        <f aca="false">C10-C12-C13</f>
        <v>593.0218221</v>
      </c>
      <c r="D14" s="17" t="s">
        <v>10</v>
      </c>
      <c r="E14" s="17" t="s">
        <v>203</v>
      </c>
    </row>
    <row r="15" customFormat="false" ht="15" hidden="false" customHeight="false" outlineLevel="0" collapsed="false">
      <c r="A15" s="4" t="s">
        <v>204</v>
      </c>
      <c r="B15" s="10" t="n">
        <f aca="false">0</f>
        <v>0</v>
      </c>
      <c r="C15" s="10" t="n">
        <f aca="false">0</f>
        <v>0</v>
      </c>
      <c r="D15" s="4" t="s">
        <v>10</v>
      </c>
      <c r="E15" s="4" t="s">
        <v>205</v>
      </c>
    </row>
  </sheetData>
  <autoFilter ref="A4:E15"/>
  <mergeCells count="2">
    <mergeCell ref="A1:E1"/>
    <mergeCell ref="A2:E2"/>
  </mergeCells>
  <printOptions headings="false" gridLines="false" gridLinesSet="true" horizontalCentered="tru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&amp;CFIN3-WKN-152 | Page &amp;P of 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18"/>
    <col collapsed="false" customWidth="true" hidden="false" outlineLevel="0" max="4" min="4" style="0" width="16"/>
    <col collapsed="false" customWidth="true" hidden="false" outlineLevel="0" max="5" min="5" style="0" width="48"/>
  </cols>
  <sheetData>
    <row r="1" customFormat="false" ht="19.7" hidden="false" customHeight="false" outlineLevel="0" collapsed="false">
      <c r="A1" s="1" t="s">
        <v>206</v>
      </c>
      <c r="B1" s="1"/>
      <c r="C1" s="1"/>
      <c r="D1" s="1"/>
      <c r="E1" s="1"/>
    </row>
    <row r="2" customFormat="false" ht="15" hidden="false" customHeight="false" outlineLevel="0" collapsed="false">
      <c r="A2" s="2" t="s">
        <v>207</v>
      </c>
      <c r="B2" s="2"/>
      <c r="C2" s="2"/>
      <c r="D2" s="2"/>
      <c r="E2" s="2"/>
    </row>
    <row r="4" customFormat="false" ht="15" hidden="false" customHeight="false" outlineLevel="0" collapsed="false">
      <c r="A4" s="3" t="s">
        <v>118</v>
      </c>
      <c r="B4" s="3" t="s">
        <v>181</v>
      </c>
      <c r="C4" s="3" t="s">
        <v>184</v>
      </c>
      <c r="D4" s="3" t="s">
        <v>4</v>
      </c>
      <c r="E4" s="3" t="s">
        <v>208</v>
      </c>
    </row>
    <row r="5" customFormat="false" ht="15" hidden="false" customHeight="false" outlineLevel="0" collapsed="false">
      <c r="A5" s="4" t="s">
        <v>209</v>
      </c>
      <c r="B5" s="15" t="n">
        <f aca="false">Inputs!$B$14</f>
        <v>143.716563</v>
      </c>
      <c r="C5" s="15" t="n">
        <f aca="false">Inputs!$B$14</f>
        <v>143.716563</v>
      </c>
      <c r="D5" s="4" t="s">
        <v>49</v>
      </c>
      <c r="E5" s="4" t="s">
        <v>210</v>
      </c>
    </row>
    <row r="6" customFormat="false" ht="15" hidden="false" customHeight="false" outlineLevel="0" collapsed="false">
      <c r="A6" s="4" t="s">
        <v>211</v>
      </c>
      <c r="B6" s="15" t="n">
        <f aca="false">Inputs!$B$20</f>
        <v>15.276527</v>
      </c>
      <c r="C6" s="15" t="n">
        <f aca="false">Inputs!$B$20+Inputs!$B$24</f>
        <v>18.576527</v>
      </c>
      <c r="D6" s="4" t="s">
        <v>49</v>
      </c>
      <c r="E6" s="4" t="s">
        <v>212</v>
      </c>
    </row>
    <row r="7" customFormat="false" ht="15" hidden="false" customHeight="false" outlineLevel="0" collapsed="false">
      <c r="A7" s="4" t="s">
        <v>213</v>
      </c>
      <c r="B7" s="15" t="n">
        <f aca="false">0</f>
        <v>0</v>
      </c>
      <c r="C7" s="15" t="n">
        <f aca="false">0</f>
        <v>0</v>
      </c>
      <c r="D7" s="4" t="s">
        <v>49</v>
      </c>
      <c r="E7" s="4" t="s">
        <v>214</v>
      </c>
    </row>
    <row r="8" customFormat="false" ht="15" hidden="false" customHeight="false" outlineLevel="0" collapsed="false">
      <c r="A8" s="4" t="s">
        <v>215</v>
      </c>
      <c r="B8" s="15" t="n">
        <f aca="false">B5+B6+B7</f>
        <v>158.99309</v>
      </c>
      <c r="C8" s="15" t="n">
        <f aca="false">C5+C6+C7</f>
        <v>162.29309</v>
      </c>
      <c r="D8" s="4" t="s">
        <v>49</v>
      </c>
      <c r="E8" s="4" t="s">
        <v>216</v>
      </c>
    </row>
    <row r="9" customFormat="false" ht="15" hidden="false" customHeight="false" outlineLevel="0" collapsed="false">
      <c r="A9" s="4" t="s">
        <v>217</v>
      </c>
      <c r="B9" s="13" t="n">
        <f aca="false">B6/B8</f>
        <v>0.0960829618444424</v>
      </c>
      <c r="C9" s="13" t="n">
        <f aca="false">C6/C8</f>
        <v>0.114462833876661</v>
      </c>
      <c r="D9" s="4" t="s">
        <v>20</v>
      </c>
      <c r="E9" s="4" t="s">
        <v>218</v>
      </c>
    </row>
    <row r="10" customFormat="false" ht="15" hidden="false" customHeight="false" outlineLevel="0" collapsed="false">
      <c r="A10" s="4" t="s">
        <v>219</v>
      </c>
      <c r="B10" s="13" t="n">
        <f aca="false">B6/B5</f>
        <v>0.106296217228629</v>
      </c>
      <c r="C10" s="13" t="n">
        <f aca="false">C6/C5</f>
        <v>0.129258080016845</v>
      </c>
      <c r="D10" s="4" t="s">
        <v>20</v>
      </c>
      <c r="E10" s="4" t="s">
        <v>220</v>
      </c>
    </row>
    <row r="11" customFormat="false" ht="15" hidden="false" customHeight="false" outlineLevel="0" collapsed="false">
      <c r="A11" s="4" t="s">
        <v>221</v>
      </c>
      <c r="B11" s="16" t="n">
        <f aca="false">Inputs!$B$30</f>
        <v>32.5</v>
      </c>
      <c r="C11" s="24" t="s">
        <v>222</v>
      </c>
      <c r="D11" s="4" t="s">
        <v>66</v>
      </c>
      <c r="E11" s="4" t="s">
        <v>223</v>
      </c>
    </row>
    <row r="12" customFormat="false" ht="15" hidden="false" customHeight="false" outlineLevel="0" collapsed="false">
      <c r="A12" s="4" t="s">
        <v>224</v>
      </c>
      <c r="B12" s="16" t="n">
        <f aca="false">Inputs!$B$31</f>
        <v>11.17</v>
      </c>
      <c r="C12" s="24" t="s">
        <v>222</v>
      </c>
      <c r="D12" s="4" t="s">
        <v>66</v>
      </c>
      <c r="E12" s="4" t="s">
        <v>225</v>
      </c>
    </row>
    <row r="13" customFormat="false" ht="15" hidden="false" customHeight="false" outlineLevel="0" collapsed="false">
      <c r="A13" s="4" t="s">
        <v>226</v>
      </c>
      <c r="B13" s="16" t="n">
        <f aca="false">B11-B12</f>
        <v>21.33</v>
      </c>
      <c r="C13" s="24" t="s">
        <v>222</v>
      </c>
      <c r="D13" s="4" t="s">
        <v>66</v>
      </c>
      <c r="E13" s="4" t="s">
        <v>227</v>
      </c>
    </row>
    <row r="14" customFormat="false" ht="15" hidden="false" customHeight="false" outlineLevel="0" collapsed="false">
      <c r="A14" s="4" t="s">
        <v>228</v>
      </c>
      <c r="B14" s="16" t="n">
        <f aca="false">Inputs!$B$32</f>
        <v>21.33</v>
      </c>
      <c r="C14" s="24" t="s">
        <v>222</v>
      </c>
      <c r="D14" s="4" t="s">
        <v>66</v>
      </c>
      <c r="E14" s="4" t="s">
        <v>229</v>
      </c>
    </row>
    <row r="15" customFormat="false" ht="15" hidden="false" customHeight="false" outlineLevel="0" collapsed="false">
      <c r="A15" s="4" t="s">
        <v>230</v>
      </c>
      <c r="B15" s="16" t="n">
        <f aca="false">B13-B14</f>
        <v>0</v>
      </c>
      <c r="C15" s="24" t="s">
        <v>222</v>
      </c>
      <c r="D15" s="4" t="s">
        <v>66</v>
      </c>
      <c r="E15" s="4" t="s">
        <v>231</v>
      </c>
    </row>
  </sheetData>
  <autoFilter ref="A4:E15"/>
  <mergeCells count="2">
    <mergeCell ref="A1:E1"/>
    <mergeCell ref="A2:E2"/>
  </mergeCells>
  <printOptions headings="false" gridLines="false" gridLinesSet="true" horizontalCentered="tru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&amp;CFIN3-WKN-152 | Page &amp;P of 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28"/>
    <col collapsed="false" customWidth="true" hidden="false" outlineLevel="0" max="5" min="5" style="0" width="60"/>
  </cols>
  <sheetData>
    <row r="1" customFormat="false" ht="19.7" hidden="false" customHeight="false" outlineLevel="0" collapsed="false">
      <c r="A1" s="1" t="s">
        <v>232</v>
      </c>
      <c r="B1" s="1"/>
      <c r="C1" s="1"/>
      <c r="D1" s="1"/>
      <c r="E1" s="1"/>
    </row>
    <row r="2" customFormat="false" ht="15" hidden="false" customHeight="false" outlineLevel="0" collapsed="false">
      <c r="A2" s="2" t="s">
        <v>233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234</v>
      </c>
      <c r="B4" s="3" t="s">
        <v>3</v>
      </c>
      <c r="C4" s="3" t="s">
        <v>4</v>
      </c>
      <c r="D4" s="3" t="s">
        <v>235</v>
      </c>
      <c r="E4" s="3" t="s">
        <v>185</v>
      </c>
    </row>
    <row r="5" customFormat="false" ht="15" hidden="false" customHeight="false" outlineLevel="0" collapsed="false">
      <c r="A5" s="4" t="s">
        <v>236</v>
      </c>
      <c r="B5" s="16" t="n">
        <f aca="false">Valuation!B16</f>
        <v>31.2746525951918</v>
      </c>
      <c r="C5" s="4" t="s">
        <v>66</v>
      </c>
      <c r="D5" s="4" t="s">
        <v>178</v>
      </c>
      <c r="E5" s="4" t="s">
        <v>179</v>
      </c>
    </row>
    <row r="6" customFormat="false" ht="15" hidden="false" customHeight="false" outlineLevel="0" collapsed="false">
      <c r="A6" s="4" t="s">
        <v>237</v>
      </c>
      <c r="B6" s="16" t="n">
        <f aca="false">Valuation!C16</f>
        <v>34.2607418099054</v>
      </c>
      <c r="C6" s="4" t="s">
        <v>66</v>
      </c>
      <c r="D6" s="4" t="s">
        <v>238</v>
      </c>
      <c r="E6" s="4" t="s">
        <v>179</v>
      </c>
    </row>
    <row r="7" customFormat="false" ht="15" hidden="false" customHeight="false" outlineLevel="0" collapsed="false">
      <c r="A7" s="4" t="s">
        <v>239</v>
      </c>
      <c r="B7" s="16" t="n">
        <f aca="false">Valuation!D16</f>
        <v>37.2468310246189</v>
      </c>
      <c r="C7" s="4" t="s">
        <v>66</v>
      </c>
      <c r="D7" s="4" t="s">
        <v>178</v>
      </c>
      <c r="E7" s="4" t="s">
        <v>179</v>
      </c>
    </row>
    <row r="8" customFormat="false" ht="15" hidden="false" customHeight="false" outlineLevel="0" collapsed="false">
      <c r="A8" s="4" t="s">
        <v>240</v>
      </c>
      <c r="B8" s="16" t="n">
        <f aca="false">Inputs!$B$19</f>
        <v>34</v>
      </c>
      <c r="C8" s="4" t="s">
        <v>66</v>
      </c>
      <c r="D8" s="4" t="s">
        <v>241</v>
      </c>
      <c r="E8" s="4" t="s">
        <v>242</v>
      </c>
    </row>
    <row r="9" customFormat="false" ht="15" hidden="false" customHeight="false" outlineLevel="0" collapsed="false">
      <c r="A9" s="4" t="s">
        <v>243</v>
      </c>
      <c r="B9" s="16" t="n">
        <f aca="false">B8-B6</f>
        <v>-0.260741809905369</v>
      </c>
      <c r="C9" s="4" t="s">
        <v>66</v>
      </c>
      <c r="D9" s="4" t="s">
        <v>244</v>
      </c>
      <c r="E9" s="4" t="s">
        <v>245</v>
      </c>
    </row>
    <row r="10" customFormat="false" ht="15" hidden="false" customHeight="false" outlineLevel="0" collapsed="false">
      <c r="A10" s="4" t="s">
        <v>246</v>
      </c>
      <c r="B10" s="16" t="n">
        <f aca="false">ABS(B9)</f>
        <v>0.260741809905369</v>
      </c>
      <c r="C10" s="4" t="s">
        <v>66</v>
      </c>
      <c r="D10" s="4" t="s">
        <v>247</v>
      </c>
      <c r="E10" s="4" t="s">
        <v>67</v>
      </c>
    </row>
    <row r="11" customFormat="false" ht="15" hidden="false" customHeight="false" outlineLevel="0" collapsed="false">
      <c r="A11" s="4" t="s">
        <v>248</v>
      </c>
      <c r="B11" s="25" t="b">
        <f aca="false">AND(B8&gt;=B5,B8&lt;=B7)</f>
        <v>1</v>
      </c>
      <c r="C11" s="4" t="s">
        <v>249</v>
      </c>
      <c r="D11" s="4" t="s">
        <v>250</v>
      </c>
      <c r="E11" s="4" t="s">
        <v>67</v>
      </c>
    </row>
    <row r="12" customFormat="false" ht="15" hidden="false" customHeight="false" outlineLevel="0" collapsed="false">
      <c r="A12" s="4" t="s">
        <v>251</v>
      </c>
      <c r="B12" s="25" t="b">
        <f aca="false">B10&lt;=0.5</f>
        <v>1</v>
      </c>
      <c r="C12" s="4" t="s">
        <v>249</v>
      </c>
      <c r="D12" s="4" t="s">
        <v>250</v>
      </c>
      <c r="E12" s="4" t="s">
        <v>67</v>
      </c>
    </row>
    <row r="13" customFormat="false" ht="28.35" hidden="false" customHeight="false" outlineLevel="0" collapsed="false">
      <c r="A13" s="4" t="s">
        <v>252</v>
      </c>
      <c r="B13" s="25" t="b">
        <f aca="false">AND(Methodology!C13:C22)</f>
        <v>1</v>
      </c>
      <c r="C13" s="4" t="s">
        <v>249</v>
      </c>
      <c r="D13" s="4" t="s">
        <v>250</v>
      </c>
      <c r="E13" s="4" t="s">
        <v>253</v>
      </c>
    </row>
    <row r="14" customFormat="false" ht="15" hidden="false" customHeight="false" outlineLevel="0" collapsed="false">
      <c r="A14" s="17" t="s">
        <v>254</v>
      </c>
      <c r="B14" s="26" t="str">
        <f aca="false">IF(AND(B11,B12,B13),"Proceed",IF(AND(B11,B13),"Reprice","Defer"))</f>
        <v>Proceed</v>
      </c>
      <c r="C14" s="17" t="s">
        <v>255</v>
      </c>
      <c r="D14" s="17" t="s">
        <v>256</v>
      </c>
      <c r="E14" s="17" t="s">
        <v>257</v>
      </c>
    </row>
    <row r="15" customFormat="false" ht="28.35" hidden="false" customHeight="false" outlineLevel="0" collapsed="false">
      <c r="A15" s="4" t="s">
        <v>258</v>
      </c>
      <c r="B15" s="4" t="s">
        <v>259</v>
      </c>
      <c r="C15" s="4" t="s">
        <v>260</v>
      </c>
      <c r="D15" s="4" t="s">
        <v>261</v>
      </c>
      <c r="E15" s="4" t="s">
        <v>38</v>
      </c>
    </row>
  </sheetData>
  <autoFilter ref="A4:E15"/>
  <mergeCells count="2">
    <mergeCell ref="A1:E1"/>
    <mergeCell ref="A2:E2"/>
  </mergeCells>
  <printOptions headings="false" gridLines="false" gridLinesSet="true" horizontalCentered="tru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&amp;CFIN3-WKN-152 | Page &amp;P of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8"/>
    <col collapsed="false" customWidth="true" hidden="false" outlineLevel="0" max="3" min="3" style="0" width="45"/>
    <col collapsed="false" customWidth="true" hidden="false" outlineLevel="0" max="4" min="4" style="0" width="50"/>
    <col collapsed="false" customWidth="true" hidden="false" outlineLevel="0" max="5" min="5" style="0" width="18"/>
    <col collapsed="false" customWidth="true" hidden="false" outlineLevel="0" max="6" min="6" style="0" width="30"/>
    <col collapsed="false" customWidth="true" hidden="false" outlineLevel="0" max="7" min="7" style="0" width="28"/>
    <col collapsed="false" customWidth="true" hidden="false" outlineLevel="0" max="8" min="8" style="0" width="70"/>
  </cols>
  <sheetData>
    <row r="1" customFormat="false" ht="19.7" hidden="false" customHeight="false" outlineLevel="0" collapsed="false">
      <c r="A1" s="1" t="s">
        <v>262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263</v>
      </c>
      <c r="B2" s="2"/>
      <c r="C2" s="2"/>
      <c r="D2" s="2"/>
      <c r="E2" s="2"/>
      <c r="F2" s="2"/>
      <c r="G2" s="2"/>
      <c r="H2" s="2"/>
    </row>
    <row r="4" customFormat="false" ht="28.35" hidden="false" customHeight="false" outlineLevel="0" collapsed="false">
      <c r="A4" s="3" t="s">
        <v>264</v>
      </c>
      <c r="B4" s="3" t="s">
        <v>265</v>
      </c>
      <c r="C4" s="3" t="s">
        <v>266</v>
      </c>
      <c r="D4" s="3" t="s">
        <v>267</v>
      </c>
      <c r="E4" s="3" t="s">
        <v>268</v>
      </c>
      <c r="F4" s="3" t="s">
        <v>4</v>
      </c>
      <c r="G4" s="3" t="s">
        <v>269</v>
      </c>
      <c r="H4" s="3" t="s">
        <v>121</v>
      </c>
    </row>
    <row r="5" customFormat="false" ht="15" hidden="false" customHeight="false" outlineLevel="0" collapsed="false">
      <c r="A5" s="4" t="s">
        <v>270</v>
      </c>
      <c r="B5" s="4" t="s">
        <v>271</v>
      </c>
      <c r="C5" s="4" t="s">
        <v>272</v>
      </c>
      <c r="D5" s="4" t="s">
        <v>273</v>
      </c>
      <c r="E5" s="27" t="n">
        <v>49.086</v>
      </c>
      <c r="F5" s="4" t="s">
        <v>274</v>
      </c>
      <c r="G5" s="4" t="s">
        <v>27</v>
      </c>
      <c r="H5" s="4" t="s">
        <v>275</v>
      </c>
    </row>
    <row r="6" customFormat="false" ht="28.35" hidden="false" customHeight="false" outlineLevel="0" collapsed="false">
      <c r="A6" s="4" t="s">
        <v>270</v>
      </c>
      <c r="B6" s="4" t="s">
        <v>276</v>
      </c>
      <c r="C6" s="4" t="s">
        <v>277</v>
      </c>
      <c r="D6" s="4" t="s">
        <v>278</v>
      </c>
      <c r="E6" s="27" t="n">
        <v>4.84627593863345</v>
      </c>
      <c r="F6" s="4" t="s">
        <v>279</v>
      </c>
      <c r="G6" s="4" t="s">
        <v>280</v>
      </c>
      <c r="H6" s="4" t="s">
        <v>275</v>
      </c>
    </row>
    <row r="7" customFormat="false" ht="15" hidden="false" customHeight="false" outlineLevel="0" collapsed="false">
      <c r="A7" s="4" t="s">
        <v>270</v>
      </c>
      <c r="B7" s="4" t="s">
        <v>281</v>
      </c>
      <c r="C7" s="4" t="s">
        <v>282</v>
      </c>
      <c r="D7" s="4" t="s">
        <v>283</v>
      </c>
      <c r="E7" s="27" t="n">
        <v>4.89439168712934</v>
      </c>
      <c r="F7" s="4" t="s">
        <v>284</v>
      </c>
      <c r="G7" s="4" t="s">
        <v>62</v>
      </c>
      <c r="H7" s="4" t="s">
        <v>285</v>
      </c>
    </row>
    <row r="8" customFormat="false" ht="15" hidden="false" customHeight="false" outlineLevel="0" collapsed="false">
      <c r="A8" s="4" t="s">
        <v>270</v>
      </c>
      <c r="B8" s="4" t="s">
        <v>286</v>
      </c>
      <c r="C8" s="4" t="s">
        <v>287</v>
      </c>
      <c r="D8" s="4" t="s">
        <v>288</v>
      </c>
      <c r="E8" s="27" t="n">
        <v>4.943429867579</v>
      </c>
      <c r="F8" s="4" t="s">
        <v>289</v>
      </c>
      <c r="G8" s="4" t="s">
        <v>42</v>
      </c>
      <c r="H8" s="4" t="s">
        <v>275</v>
      </c>
    </row>
    <row r="9" customFormat="false" ht="15" hidden="false" customHeight="false" outlineLevel="0" collapsed="false">
      <c r="A9" s="4" t="s">
        <v>270</v>
      </c>
      <c r="B9" s="4" t="s">
        <v>290</v>
      </c>
      <c r="C9" s="4" t="s">
        <v>291</v>
      </c>
      <c r="D9" s="4" t="s">
        <v>292</v>
      </c>
      <c r="E9" s="27" t="n">
        <v>228.598082</v>
      </c>
      <c r="F9" s="4" t="s">
        <v>293</v>
      </c>
      <c r="G9" s="4" t="s">
        <v>72</v>
      </c>
      <c r="H9" s="4" t="s">
        <v>275</v>
      </c>
    </row>
    <row r="10" customFormat="false" ht="28.35" hidden="false" customHeight="false" outlineLevel="0" collapsed="false">
      <c r="A10" s="4" t="s">
        <v>270</v>
      </c>
      <c r="B10" s="4" t="s">
        <v>294</v>
      </c>
      <c r="C10" s="4" t="s">
        <v>295</v>
      </c>
      <c r="D10" s="4" t="s">
        <v>296</v>
      </c>
      <c r="E10" s="27" t="n">
        <v>106.59</v>
      </c>
      <c r="F10" s="4" t="s">
        <v>297</v>
      </c>
      <c r="G10" s="4" t="s">
        <v>298</v>
      </c>
      <c r="H10" s="4" t="s">
        <v>275</v>
      </c>
    </row>
    <row r="11" customFormat="false" ht="28.35" hidden="false" customHeight="false" outlineLevel="0" collapsed="false">
      <c r="A11" s="4" t="s">
        <v>270</v>
      </c>
      <c r="B11" s="4" t="s">
        <v>299</v>
      </c>
      <c r="C11" s="4" t="s">
        <v>300</v>
      </c>
      <c r="D11" s="4" t="s">
        <v>301</v>
      </c>
      <c r="E11" s="27" t="n">
        <v>11.4299041</v>
      </c>
      <c r="F11" s="4" t="s">
        <v>302</v>
      </c>
      <c r="G11" s="4" t="s">
        <v>99</v>
      </c>
      <c r="H11" s="4" t="s">
        <v>275</v>
      </c>
    </row>
    <row r="12" customFormat="false" ht="15" hidden="false" customHeight="false" outlineLevel="0" collapsed="false">
      <c r="A12" s="4" t="s">
        <v>270</v>
      </c>
      <c r="B12" s="4" t="s">
        <v>303</v>
      </c>
      <c r="C12" s="4" t="s">
        <v>304</v>
      </c>
      <c r="D12" s="4" t="s">
        <v>305</v>
      </c>
      <c r="E12" s="27" t="n">
        <v>6.723473</v>
      </c>
      <c r="F12" s="4" t="s">
        <v>306</v>
      </c>
      <c r="G12" s="4" t="s">
        <v>72</v>
      </c>
      <c r="H12" s="4" t="s">
        <v>275</v>
      </c>
    </row>
    <row r="13" customFormat="false" ht="15" hidden="false" customHeight="false" outlineLevel="0" collapsed="false">
      <c r="A13" s="4" t="s">
        <v>270</v>
      </c>
      <c r="B13" s="4" t="s">
        <v>307</v>
      </c>
      <c r="C13" s="4" t="s">
        <v>308</v>
      </c>
      <c r="D13" s="4" t="s">
        <v>309</v>
      </c>
      <c r="E13" s="27" t="n">
        <v>228.598082</v>
      </c>
      <c r="F13" s="4" t="s">
        <v>293</v>
      </c>
      <c r="G13" s="4" t="s">
        <v>205</v>
      </c>
      <c r="H13" s="4" t="s">
        <v>275</v>
      </c>
    </row>
    <row r="14" customFormat="false" ht="15" hidden="false" customHeight="false" outlineLevel="0" collapsed="false">
      <c r="A14" s="4" t="s">
        <v>270</v>
      </c>
      <c r="B14" s="4" t="s">
        <v>310</v>
      </c>
      <c r="C14" s="4" t="s">
        <v>311</v>
      </c>
      <c r="D14" s="4" t="s">
        <v>312</v>
      </c>
      <c r="E14" s="27"/>
      <c r="F14" s="4" t="s">
        <v>313</v>
      </c>
      <c r="G14" s="4" t="s">
        <v>314</v>
      </c>
      <c r="H14" s="4" t="s">
        <v>275</v>
      </c>
    </row>
    <row r="15" customFormat="false" ht="28.35" hidden="false" customHeight="false" outlineLevel="0" collapsed="false">
      <c r="A15" s="4" t="s">
        <v>270</v>
      </c>
      <c r="B15" s="4" t="s">
        <v>315</v>
      </c>
      <c r="C15" s="4" t="s">
        <v>316</v>
      </c>
      <c r="D15" s="4" t="s">
        <v>317</v>
      </c>
      <c r="E15" s="27" t="n">
        <v>3.24683102461893</v>
      </c>
      <c r="F15" s="4" t="s">
        <v>318</v>
      </c>
      <c r="G15" s="4" t="s">
        <v>319</v>
      </c>
      <c r="H15" s="4" t="s">
        <v>275</v>
      </c>
    </row>
    <row r="16" customFormat="false" ht="15" hidden="false" customHeight="false" outlineLevel="0" collapsed="false">
      <c r="A16" s="4" t="s">
        <v>270</v>
      </c>
      <c r="B16" s="4" t="s">
        <v>320</v>
      </c>
      <c r="C16" s="4" t="s">
        <v>321</v>
      </c>
      <c r="D16" s="4" t="s">
        <v>322</v>
      </c>
      <c r="E16" s="27"/>
      <c r="F16" s="4" t="s">
        <v>323</v>
      </c>
      <c r="G16" s="4" t="s">
        <v>324</v>
      </c>
      <c r="H16" s="4" t="s">
        <v>325</v>
      </c>
    </row>
    <row r="17" customFormat="false" ht="15" hidden="false" customHeight="false" outlineLevel="0" collapsed="false">
      <c r="A17" s="4" t="s">
        <v>270</v>
      </c>
      <c r="B17" s="4" t="s">
        <v>326</v>
      </c>
      <c r="C17" s="4" t="s">
        <v>327</v>
      </c>
      <c r="D17" s="4" t="s">
        <v>328</v>
      </c>
      <c r="E17" s="27" t="n">
        <v>3</v>
      </c>
      <c r="F17" s="4" t="s">
        <v>329</v>
      </c>
      <c r="G17" s="4" t="s">
        <v>330</v>
      </c>
      <c r="H17" s="4" t="s">
        <v>275</v>
      </c>
    </row>
    <row r="18" customFormat="false" ht="15" hidden="false" customHeight="false" outlineLevel="0" collapsed="false">
      <c r="A18" s="28" t="s">
        <v>331</v>
      </c>
      <c r="B18" s="4" t="s">
        <v>332</v>
      </c>
      <c r="C18" s="4" t="s">
        <v>333</v>
      </c>
      <c r="D18" s="4" t="s">
        <v>334</v>
      </c>
      <c r="E18" s="27" t="n">
        <v>57.1</v>
      </c>
      <c r="F18" s="4" t="s">
        <v>335</v>
      </c>
      <c r="G18" s="4" t="s">
        <v>336</v>
      </c>
      <c r="H18" s="4" t="s">
        <v>337</v>
      </c>
    </row>
    <row r="19" customFormat="false" ht="28.35" hidden="false" customHeight="false" outlineLevel="0" collapsed="false">
      <c r="A19" s="28" t="s">
        <v>331</v>
      </c>
      <c r="B19" s="4" t="s">
        <v>338</v>
      </c>
      <c r="C19" s="4" t="s">
        <v>339</v>
      </c>
      <c r="D19" s="4" t="s">
        <v>340</v>
      </c>
      <c r="E19" s="27" t="n">
        <v>66.5</v>
      </c>
      <c r="F19" s="4" t="s">
        <v>341</v>
      </c>
      <c r="G19" s="4" t="s">
        <v>342</v>
      </c>
      <c r="H19" s="4" t="s">
        <v>337</v>
      </c>
    </row>
    <row r="20" customFormat="false" ht="28.35" hidden="false" customHeight="false" outlineLevel="0" collapsed="false">
      <c r="A20" s="28" t="s">
        <v>331</v>
      </c>
      <c r="B20" s="4" t="s">
        <v>343</v>
      </c>
      <c r="C20" s="4" t="s">
        <v>344</v>
      </c>
      <c r="D20" s="4" t="s">
        <v>345</v>
      </c>
      <c r="E20" s="27" t="n">
        <v>-2.47900000000004</v>
      </c>
      <c r="F20" s="4" t="s">
        <v>346</v>
      </c>
      <c r="G20" s="4" t="s">
        <v>347</v>
      </c>
      <c r="H20" s="4" t="s">
        <v>337</v>
      </c>
    </row>
    <row r="21" customFormat="false" ht="15" hidden="false" customHeight="false" outlineLevel="0" collapsed="false">
      <c r="A21" s="28" t="s">
        <v>331</v>
      </c>
      <c r="B21" s="4" t="s">
        <v>348</v>
      </c>
      <c r="C21" s="4" t="s">
        <v>349</v>
      </c>
      <c r="D21" s="4" t="s">
        <v>350</v>
      </c>
      <c r="E21" s="27" t="n">
        <v>137.223</v>
      </c>
      <c r="F21" s="4" t="s">
        <v>341</v>
      </c>
      <c r="G21" s="4" t="s">
        <v>351</v>
      </c>
      <c r="H21" s="4" t="s">
        <v>352</v>
      </c>
    </row>
    <row r="22" customFormat="false" ht="15" hidden="false" customHeight="false" outlineLevel="0" collapsed="false">
      <c r="A22" s="28" t="s">
        <v>331</v>
      </c>
      <c r="B22" s="4" t="s">
        <v>353</v>
      </c>
      <c r="C22" s="4" t="s">
        <v>354</v>
      </c>
      <c r="D22" s="4" t="s">
        <v>355</v>
      </c>
      <c r="E22" s="27" t="n">
        <v>0.594000000000001</v>
      </c>
      <c r="F22" s="4" t="s">
        <v>356</v>
      </c>
      <c r="G22" s="4" t="s">
        <v>12</v>
      </c>
      <c r="H22" s="4" t="s">
        <v>357</v>
      </c>
    </row>
    <row r="23" customFormat="false" ht="15" hidden="false" customHeight="false" outlineLevel="0" collapsed="false">
      <c r="A23" s="28" t="s">
        <v>331</v>
      </c>
      <c r="B23" s="4" t="s">
        <v>358</v>
      </c>
      <c r="C23" s="4" t="s">
        <v>359</v>
      </c>
      <c r="D23" s="4" t="s">
        <v>360</v>
      </c>
      <c r="E23" s="27" t="n">
        <v>3.19999999999999</v>
      </c>
      <c r="F23" s="4" t="s">
        <v>361</v>
      </c>
      <c r="G23" s="4" t="s">
        <v>362</v>
      </c>
      <c r="H23" s="4" t="s">
        <v>363</v>
      </c>
    </row>
    <row r="24" customFormat="false" ht="28.35" hidden="false" customHeight="false" outlineLevel="0" collapsed="false">
      <c r="A24" s="28" t="s">
        <v>331</v>
      </c>
      <c r="B24" s="4" t="s">
        <v>364</v>
      </c>
      <c r="C24" s="4" t="s">
        <v>365</v>
      </c>
      <c r="D24" s="4" t="s">
        <v>366</v>
      </c>
      <c r="E24" s="27"/>
      <c r="F24" s="4" t="s">
        <v>367</v>
      </c>
      <c r="G24" s="4" t="s">
        <v>368</v>
      </c>
      <c r="H24" s="4" t="s">
        <v>369</v>
      </c>
    </row>
    <row r="25" customFormat="false" ht="15" hidden="false" customHeight="false" outlineLevel="0" collapsed="false">
      <c r="A25" s="28" t="s">
        <v>331</v>
      </c>
      <c r="B25" s="4" t="s">
        <v>370</v>
      </c>
      <c r="C25" s="4" t="s">
        <v>371</v>
      </c>
      <c r="D25" s="4" t="s">
        <v>372</v>
      </c>
      <c r="E25" s="27" t="n">
        <v>1</v>
      </c>
      <c r="F25" s="4" t="s">
        <v>373</v>
      </c>
      <c r="G25" s="4" t="s">
        <v>374</v>
      </c>
      <c r="H25" s="4" t="s">
        <v>375</v>
      </c>
    </row>
    <row r="26" customFormat="false" ht="28.35" hidden="false" customHeight="false" outlineLevel="0" collapsed="false">
      <c r="A26" s="28" t="s">
        <v>331</v>
      </c>
      <c r="B26" s="4" t="s">
        <v>376</v>
      </c>
      <c r="C26" s="4" t="s">
        <v>377</v>
      </c>
      <c r="D26" s="4" t="s">
        <v>378</v>
      </c>
      <c r="E26" s="27" t="n">
        <v>9</v>
      </c>
      <c r="F26" s="4" t="s">
        <v>379</v>
      </c>
      <c r="G26" s="4" t="s">
        <v>374</v>
      </c>
      <c r="H26" s="4" t="s">
        <v>375</v>
      </c>
    </row>
  </sheetData>
  <autoFilter ref="A4:H26"/>
  <mergeCells count="2">
    <mergeCell ref="A1:H1"/>
    <mergeCell ref="A2:H2"/>
  </mergeCells>
  <printOptions headings="false" gridLines="false" gridLinesSet="true" horizontalCentered="tru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&amp;CFIN3-WKN-152 | Page &amp;P of 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34"/>
    <col collapsed="false" customWidth="true" hidden="false" outlineLevel="0" max="5" min="5" style="0" width="72"/>
    <col collapsed="false" customWidth="true" hidden="false" outlineLevel="0" max="6" min="6" style="0" width="38"/>
    <col collapsed="false" customWidth="true" hidden="false" outlineLevel="0" max="7" min="7" style="0" width="60"/>
    <col collapsed="false" customWidth="true" hidden="false" outlineLevel="0" max="8" min="8" style="0" width="32"/>
    <col collapsed="false" customWidth="true" hidden="false" outlineLevel="0" max="9" min="9" style="0" width="35"/>
    <col collapsed="false" customWidth="true" hidden="false" outlineLevel="0" max="10" min="10" style="0" width="16"/>
  </cols>
  <sheetData>
    <row r="1" customFormat="false" ht="19.7" hidden="false" customHeight="false" outlineLevel="0" collapsed="false">
      <c r="A1" s="1" t="s">
        <v>380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381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5" hidden="false" customHeight="false" outlineLevel="0" collapsed="false">
      <c r="A4" s="3" t="s">
        <v>382</v>
      </c>
      <c r="B4" s="3" t="s">
        <v>383</v>
      </c>
      <c r="C4" s="3" t="s">
        <v>4</v>
      </c>
      <c r="D4" s="3" t="s">
        <v>5</v>
      </c>
      <c r="E4" s="3" t="s">
        <v>384</v>
      </c>
      <c r="F4" s="3" t="s">
        <v>385</v>
      </c>
      <c r="G4" s="3" t="s">
        <v>386</v>
      </c>
      <c r="H4" s="3" t="s">
        <v>387</v>
      </c>
      <c r="I4" s="3" t="s">
        <v>388</v>
      </c>
      <c r="J4" s="3" t="s">
        <v>389</v>
      </c>
    </row>
    <row r="5" customFormat="false" ht="28.35" hidden="false" customHeight="false" outlineLevel="0" collapsed="false">
      <c r="A5" s="4" t="s">
        <v>390</v>
      </c>
      <c r="B5" s="4" t="s">
        <v>391</v>
      </c>
      <c r="C5" s="4" t="s">
        <v>392</v>
      </c>
      <c r="D5" s="4" t="s">
        <v>393</v>
      </c>
      <c r="E5" s="4" t="s">
        <v>394</v>
      </c>
      <c r="F5" s="4" t="s">
        <v>395</v>
      </c>
      <c r="G5" s="4" t="s">
        <v>396</v>
      </c>
      <c r="H5" s="4" t="s">
        <v>397</v>
      </c>
      <c r="I5" s="4" t="s">
        <v>398</v>
      </c>
      <c r="J5" s="4" t="s">
        <v>399</v>
      </c>
    </row>
    <row r="6" customFormat="false" ht="15" hidden="false" customHeight="false" outlineLevel="0" collapsed="false">
      <c r="A6" s="4" t="s">
        <v>400</v>
      </c>
      <c r="B6" s="4" t="s">
        <v>401</v>
      </c>
      <c r="C6" s="4" t="s">
        <v>10</v>
      </c>
      <c r="D6" s="4" t="s">
        <v>11</v>
      </c>
      <c r="E6" s="4" t="s">
        <v>17</v>
      </c>
      <c r="F6" s="4" t="s">
        <v>402</v>
      </c>
      <c r="G6" s="4" t="s">
        <v>403</v>
      </c>
      <c r="H6" s="4" t="s">
        <v>404</v>
      </c>
      <c r="I6" s="4" t="s">
        <v>405</v>
      </c>
      <c r="J6" s="4" t="s">
        <v>399</v>
      </c>
    </row>
    <row r="7" customFormat="false" ht="28.35" hidden="false" customHeight="false" outlineLevel="0" collapsed="false">
      <c r="A7" s="4" t="s">
        <v>406</v>
      </c>
      <c r="B7" s="4" t="s">
        <v>407</v>
      </c>
      <c r="C7" s="4" t="s">
        <v>20</v>
      </c>
      <c r="D7" s="4" t="s">
        <v>21</v>
      </c>
      <c r="E7" s="4" t="s">
        <v>23</v>
      </c>
      <c r="F7" s="4" t="s">
        <v>408</v>
      </c>
      <c r="G7" s="4" t="s">
        <v>409</v>
      </c>
      <c r="H7" s="4" t="s">
        <v>410</v>
      </c>
      <c r="I7" s="4" t="s">
        <v>22</v>
      </c>
      <c r="J7" s="4" t="s">
        <v>399</v>
      </c>
    </row>
    <row r="8" customFormat="false" ht="28.35" hidden="false" customHeight="false" outlineLevel="0" collapsed="false">
      <c r="A8" s="4" t="s">
        <v>411</v>
      </c>
      <c r="B8" s="4" t="s">
        <v>412</v>
      </c>
      <c r="C8" s="4" t="s">
        <v>10</v>
      </c>
      <c r="D8" s="4" t="s">
        <v>413</v>
      </c>
      <c r="E8" s="4" t="s">
        <v>414</v>
      </c>
      <c r="F8" s="4" t="s">
        <v>415</v>
      </c>
      <c r="G8" s="4" t="s">
        <v>222</v>
      </c>
      <c r="H8" s="4" t="s">
        <v>416</v>
      </c>
      <c r="I8" s="4" t="s">
        <v>22</v>
      </c>
      <c r="J8" s="4" t="s">
        <v>399</v>
      </c>
    </row>
    <row r="9" customFormat="false" ht="15" hidden="false" customHeight="false" outlineLevel="0" collapsed="false">
      <c r="A9" s="4" t="s">
        <v>123</v>
      </c>
      <c r="B9" s="4" t="s">
        <v>417</v>
      </c>
      <c r="C9" s="4" t="s">
        <v>10</v>
      </c>
      <c r="D9" s="4" t="s">
        <v>418</v>
      </c>
      <c r="E9" s="4" t="s">
        <v>28</v>
      </c>
      <c r="F9" s="4" t="s">
        <v>419</v>
      </c>
      <c r="G9" s="4" t="s">
        <v>403</v>
      </c>
      <c r="H9" s="4" t="s">
        <v>404</v>
      </c>
      <c r="I9" s="4" t="s">
        <v>420</v>
      </c>
      <c r="J9" s="4" t="s">
        <v>399</v>
      </c>
    </row>
    <row r="10" customFormat="false" ht="28.35" hidden="false" customHeight="false" outlineLevel="0" collapsed="false">
      <c r="A10" s="4" t="s">
        <v>421</v>
      </c>
      <c r="B10" s="4" t="s">
        <v>422</v>
      </c>
      <c r="C10" s="4" t="s">
        <v>10</v>
      </c>
      <c r="D10" s="4" t="s">
        <v>423</v>
      </c>
      <c r="E10" s="4" t="s">
        <v>31</v>
      </c>
      <c r="F10" s="4" t="s">
        <v>424</v>
      </c>
      <c r="G10" s="4" t="s">
        <v>357</v>
      </c>
      <c r="H10" s="4" t="s">
        <v>425</v>
      </c>
      <c r="I10" s="4" t="s">
        <v>420</v>
      </c>
      <c r="J10" s="4" t="s">
        <v>399</v>
      </c>
    </row>
    <row r="11" customFormat="false" ht="41.75" hidden="false" customHeight="false" outlineLevel="0" collapsed="false">
      <c r="A11" s="4" t="s">
        <v>33</v>
      </c>
      <c r="B11" s="4" t="s">
        <v>426</v>
      </c>
      <c r="C11" s="4" t="s">
        <v>10</v>
      </c>
      <c r="D11" s="4" t="s">
        <v>427</v>
      </c>
      <c r="E11" s="4" t="s">
        <v>428</v>
      </c>
      <c r="F11" s="4" t="s">
        <v>429</v>
      </c>
      <c r="G11" s="4" t="s">
        <v>430</v>
      </c>
      <c r="H11" s="4" t="s">
        <v>431</v>
      </c>
      <c r="I11" s="4" t="s">
        <v>34</v>
      </c>
      <c r="J11" s="4" t="s">
        <v>399</v>
      </c>
    </row>
    <row r="12" customFormat="false" ht="15" hidden="false" customHeight="false" outlineLevel="0" collapsed="false">
      <c r="A12" s="4" t="s">
        <v>132</v>
      </c>
      <c r="B12" s="4" t="s">
        <v>432</v>
      </c>
      <c r="C12" s="4" t="s">
        <v>10</v>
      </c>
      <c r="D12" s="4" t="s">
        <v>433</v>
      </c>
      <c r="E12" s="4" t="s">
        <v>434</v>
      </c>
      <c r="F12" s="4" t="s">
        <v>435</v>
      </c>
      <c r="G12" s="4" t="s">
        <v>436</v>
      </c>
      <c r="H12" s="4" t="s">
        <v>437</v>
      </c>
      <c r="I12" s="4" t="s">
        <v>27</v>
      </c>
      <c r="J12" s="4" t="s">
        <v>399</v>
      </c>
    </row>
    <row r="13" customFormat="false" ht="15" hidden="false" customHeight="false" outlineLevel="0" collapsed="false">
      <c r="A13" s="4" t="s">
        <v>137</v>
      </c>
      <c r="B13" s="4" t="s">
        <v>438</v>
      </c>
      <c r="C13" s="4" t="s">
        <v>10</v>
      </c>
      <c r="D13" s="4" t="s">
        <v>11</v>
      </c>
      <c r="E13" s="4" t="s">
        <v>39</v>
      </c>
      <c r="F13" s="4" t="s">
        <v>439</v>
      </c>
      <c r="G13" s="4" t="s">
        <v>403</v>
      </c>
      <c r="H13" s="4" t="s">
        <v>404</v>
      </c>
      <c r="I13" s="4" t="s">
        <v>440</v>
      </c>
      <c r="J13" s="4" t="s">
        <v>399</v>
      </c>
    </row>
    <row r="14" customFormat="false" ht="15" hidden="false" customHeight="false" outlineLevel="0" collapsed="false">
      <c r="A14" s="4" t="s">
        <v>41</v>
      </c>
      <c r="B14" s="4" t="s">
        <v>441</v>
      </c>
      <c r="C14" s="4" t="s">
        <v>10</v>
      </c>
      <c r="D14" s="4" t="s">
        <v>11</v>
      </c>
      <c r="E14" s="4" t="s">
        <v>43</v>
      </c>
      <c r="F14" s="4" t="s">
        <v>222</v>
      </c>
      <c r="G14" s="4" t="s">
        <v>222</v>
      </c>
      <c r="H14" s="4" t="s">
        <v>442</v>
      </c>
      <c r="I14" s="4" t="s">
        <v>42</v>
      </c>
      <c r="J14" s="4" t="s">
        <v>399</v>
      </c>
    </row>
    <row r="15" customFormat="false" ht="15" hidden="false" customHeight="false" outlineLevel="0" collapsed="false">
      <c r="A15" s="4" t="s">
        <v>443</v>
      </c>
      <c r="B15" s="4" t="s">
        <v>444</v>
      </c>
      <c r="C15" s="4" t="s">
        <v>10</v>
      </c>
      <c r="D15" s="4" t="s">
        <v>11</v>
      </c>
      <c r="E15" s="4" t="s">
        <v>46</v>
      </c>
      <c r="F15" s="4" t="s">
        <v>445</v>
      </c>
      <c r="G15" s="4" t="s">
        <v>275</v>
      </c>
      <c r="H15" s="4" t="s">
        <v>442</v>
      </c>
      <c r="I15" s="4" t="s">
        <v>42</v>
      </c>
      <c r="J15" s="4" t="s">
        <v>399</v>
      </c>
    </row>
    <row r="16" customFormat="false" ht="28.35" hidden="false" customHeight="false" outlineLevel="0" collapsed="false">
      <c r="A16" s="4" t="s">
        <v>446</v>
      </c>
      <c r="B16" s="4" t="s">
        <v>447</v>
      </c>
      <c r="C16" s="4" t="s">
        <v>49</v>
      </c>
      <c r="D16" s="4" t="s">
        <v>448</v>
      </c>
      <c r="E16" s="4" t="s">
        <v>449</v>
      </c>
      <c r="F16" s="4" t="s">
        <v>450</v>
      </c>
      <c r="G16" s="4" t="s">
        <v>363</v>
      </c>
      <c r="H16" s="4" t="s">
        <v>451</v>
      </c>
      <c r="I16" s="4" t="s">
        <v>452</v>
      </c>
      <c r="J16" s="4" t="s">
        <v>399</v>
      </c>
    </row>
    <row r="17" customFormat="false" ht="28.35" hidden="false" customHeight="false" outlineLevel="0" collapsed="false">
      <c r="A17" s="4" t="s">
        <v>453</v>
      </c>
      <c r="B17" s="4" t="s">
        <v>454</v>
      </c>
      <c r="C17" s="4" t="s">
        <v>53</v>
      </c>
      <c r="D17" s="4" t="s">
        <v>21</v>
      </c>
      <c r="E17" s="4" t="s">
        <v>455</v>
      </c>
      <c r="F17" s="4" t="s">
        <v>456</v>
      </c>
      <c r="G17" s="4" t="s">
        <v>457</v>
      </c>
      <c r="H17" s="4" t="s">
        <v>223</v>
      </c>
      <c r="I17" s="4" t="s">
        <v>54</v>
      </c>
      <c r="J17" s="4" t="s">
        <v>399</v>
      </c>
    </row>
    <row r="18" customFormat="false" ht="28.35" hidden="false" customHeight="false" outlineLevel="0" collapsed="false">
      <c r="A18" s="4" t="s">
        <v>458</v>
      </c>
      <c r="B18" s="4" t="s">
        <v>459</v>
      </c>
      <c r="C18" s="4" t="s">
        <v>20</v>
      </c>
      <c r="D18" s="4" t="s">
        <v>21</v>
      </c>
      <c r="E18" s="4" t="s">
        <v>63</v>
      </c>
      <c r="F18" s="4" t="s">
        <v>460</v>
      </c>
      <c r="G18" s="4" t="s">
        <v>461</v>
      </c>
      <c r="H18" s="4" t="s">
        <v>462</v>
      </c>
      <c r="I18" s="4" t="s">
        <v>62</v>
      </c>
      <c r="J18" s="4" t="s">
        <v>399</v>
      </c>
    </row>
    <row r="19" customFormat="false" ht="15" hidden="false" customHeight="false" outlineLevel="0" collapsed="false">
      <c r="A19" s="4" t="s">
        <v>186</v>
      </c>
      <c r="B19" s="4" t="s">
        <v>463</v>
      </c>
      <c r="C19" s="4" t="s">
        <v>66</v>
      </c>
      <c r="D19" s="4" t="s">
        <v>21</v>
      </c>
      <c r="E19" s="4" t="s">
        <v>68</v>
      </c>
      <c r="F19" s="4" t="s">
        <v>464</v>
      </c>
      <c r="G19" s="4" t="s">
        <v>465</v>
      </c>
      <c r="H19" s="4" t="s">
        <v>466</v>
      </c>
      <c r="I19" s="4" t="s">
        <v>467</v>
      </c>
      <c r="J19" s="4" t="s">
        <v>399</v>
      </c>
    </row>
    <row r="20" customFormat="false" ht="28.35" hidden="false" customHeight="false" outlineLevel="0" collapsed="false">
      <c r="A20" s="4" t="s">
        <v>468</v>
      </c>
      <c r="B20" s="4" t="s">
        <v>469</v>
      </c>
      <c r="C20" s="4" t="s">
        <v>49</v>
      </c>
      <c r="D20" s="4" t="s">
        <v>11</v>
      </c>
      <c r="E20" s="4" t="s">
        <v>470</v>
      </c>
      <c r="F20" s="4" t="s">
        <v>471</v>
      </c>
      <c r="G20" s="4" t="s">
        <v>275</v>
      </c>
      <c r="H20" s="4" t="s">
        <v>472</v>
      </c>
      <c r="I20" s="4" t="s">
        <v>473</v>
      </c>
      <c r="J20" s="4" t="s">
        <v>399</v>
      </c>
    </row>
    <row r="21" customFormat="false" ht="28.35" hidden="false" customHeight="false" outlineLevel="0" collapsed="false">
      <c r="A21" s="4" t="s">
        <v>474</v>
      </c>
      <c r="B21" s="4" t="s">
        <v>475</v>
      </c>
      <c r="C21" s="4" t="s">
        <v>476</v>
      </c>
      <c r="D21" s="4" t="s">
        <v>477</v>
      </c>
      <c r="E21" s="4" t="s">
        <v>478</v>
      </c>
      <c r="F21" s="4" t="s">
        <v>479</v>
      </c>
      <c r="G21" s="4" t="s">
        <v>480</v>
      </c>
      <c r="H21" s="4" t="s">
        <v>481</v>
      </c>
      <c r="I21" s="4" t="s">
        <v>99</v>
      </c>
      <c r="J21" s="4" t="s">
        <v>399</v>
      </c>
    </row>
    <row r="22" customFormat="false" ht="28.35" hidden="false" customHeight="false" outlineLevel="0" collapsed="false">
      <c r="A22" s="4" t="s">
        <v>482</v>
      </c>
      <c r="B22" s="4" t="s">
        <v>483</v>
      </c>
      <c r="C22" s="4" t="s">
        <v>10</v>
      </c>
      <c r="D22" s="4" t="s">
        <v>484</v>
      </c>
      <c r="E22" s="4" t="s">
        <v>485</v>
      </c>
      <c r="F22" s="4" t="s">
        <v>486</v>
      </c>
      <c r="G22" s="4" t="s">
        <v>487</v>
      </c>
      <c r="H22" s="4" t="s">
        <v>334</v>
      </c>
      <c r="I22" s="4" t="s">
        <v>488</v>
      </c>
      <c r="J22" s="4" t="s">
        <v>399</v>
      </c>
    </row>
    <row r="23" customFormat="false" ht="28.35" hidden="false" customHeight="false" outlineLevel="0" collapsed="false">
      <c r="A23" s="4" t="s">
        <v>489</v>
      </c>
      <c r="B23" s="4" t="s">
        <v>490</v>
      </c>
      <c r="C23" s="4" t="s">
        <v>10</v>
      </c>
      <c r="D23" s="4" t="s">
        <v>491</v>
      </c>
      <c r="E23" s="4" t="s">
        <v>492</v>
      </c>
      <c r="F23" s="4" t="s">
        <v>493</v>
      </c>
      <c r="G23" s="4" t="s">
        <v>494</v>
      </c>
      <c r="H23" s="4" t="s">
        <v>495</v>
      </c>
      <c r="I23" s="4" t="s">
        <v>496</v>
      </c>
      <c r="J23" s="4" t="s">
        <v>399</v>
      </c>
    </row>
    <row r="24" customFormat="false" ht="15" hidden="false" customHeight="false" outlineLevel="0" collapsed="false">
      <c r="A24" s="4" t="s">
        <v>497</v>
      </c>
      <c r="B24" s="4" t="s">
        <v>498</v>
      </c>
      <c r="C24" s="4" t="s">
        <v>10</v>
      </c>
      <c r="D24" s="4" t="s">
        <v>499</v>
      </c>
      <c r="E24" s="4" t="s">
        <v>500</v>
      </c>
      <c r="F24" s="4" t="s">
        <v>501</v>
      </c>
      <c r="G24" s="4" t="s">
        <v>352</v>
      </c>
      <c r="H24" s="4" t="s">
        <v>502</v>
      </c>
      <c r="I24" s="4" t="s">
        <v>503</v>
      </c>
      <c r="J24" s="4" t="s">
        <v>399</v>
      </c>
    </row>
    <row r="25" customFormat="false" ht="15" hidden="false" customHeight="false" outlineLevel="0" collapsed="false">
      <c r="A25" s="4" t="s">
        <v>504</v>
      </c>
      <c r="B25" s="4" t="s">
        <v>505</v>
      </c>
      <c r="C25" s="4" t="s">
        <v>10</v>
      </c>
      <c r="D25" s="4" t="s">
        <v>499</v>
      </c>
      <c r="E25" s="4" t="s">
        <v>506</v>
      </c>
      <c r="F25" s="4" t="s">
        <v>354</v>
      </c>
      <c r="G25" s="4" t="s">
        <v>507</v>
      </c>
      <c r="H25" s="4" t="s">
        <v>508</v>
      </c>
      <c r="I25" s="4" t="s">
        <v>509</v>
      </c>
      <c r="J25" s="4" t="s">
        <v>399</v>
      </c>
    </row>
    <row r="26" customFormat="false" ht="28.35" hidden="false" customHeight="false" outlineLevel="0" collapsed="false">
      <c r="A26" s="4" t="s">
        <v>510</v>
      </c>
      <c r="B26" s="4" t="s">
        <v>511</v>
      </c>
      <c r="C26" s="4" t="s">
        <v>49</v>
      </c>
      <c r="D26" s="4" t="s">
        <v>512</v>
      </c>
      <c r="E26" s="4" t="s">
        <v>513</v>
      </c>
      <c r="F26" s="4" t="s">
        <v>514</v>
      </c>
      <c r="G26" s="4" t="s">
        <v>363</v>
      </c>
      <c r="H26" s="4" t="s">
        <v>515</v>
      </c>
      <c r="I26" s="4" t="s">
        <v>516</v>
      </c>
      <c r="J26" s="4" t="s">
        <v>399</v>
      </c>
    </row>
    <row r="27" customFormat="false" ht="28.35" hidden="false" customHeight="false" outlineLevel="0" collapsed="false">
      <c r="A27" s="4" t="s">
        <v>517</v>
      </c>
      <c r="B27" s="4" t="s">
        <v>518</v>
      </c>
      <c r="C27" s="4" t="s">
        <v>392</v>
      </c>
      <c r="D27" s="4" t="s">
        <v>519</v>
      </c>
      <c r="E27" s="4" t="s">
        <v>513</v>
      </c>
      <c r="F27" s="4" t="s">
        <v>520</v>
      </c>
      <c r="G27" s="4" t="s">
        <v>369</v>
      </c>
      <c r="H27" s="4" t="s">
        <v>521</v>
      </c>
      <c r="I27" s="4" t="s">
        <v>522</v>
      </c>
      <c r="J27" s="4" t="s">
        <v>523</v>
      </c>
    </row>
    <row r="28" customFormat="false" ht="28.35" hidden="false" customHeight="false" outlineLevel="0" collapsed="false">
      <c r="A28" s="4" t="s">
        <v>524</v>
      </c>
      <c r="B28" s="4" t="s">
        <v>525</v>
      </c>
      <c r="C28" s="4" t="s">
        <v>392</v>
      </c>
      <c r="D28" s="4" t="s">
        <v>526</v>
      </c>
      <c r="E28" s="4" t="s">
        <v>375</v>
      </c>
      <c r="F28" s="4" t="s">
        <v>527</v>
      </c>
      <c r="G28" s="4" t="s">
        <v>528</v>
      </c>
      <c r="H28" s="4" t="s">
        <v>529</v>
      </c>
      <c r="I28" s="4" t="s">
        <v>530</v>
      </c>
      <c r="J28" s="4" t="s">
        <v>523</v>
      </c>
    </row>
  </sheetData>
  <autoFilter ref="A4:J28"/>
  <mergeCells count="2">
    <mergeCell ref="A1:J1"/>
    <mergeCell ref="A2:J2"/>
  </mergeCells>
  <printOptions headings="false" gridLines="false" gridLinesSet="true" horizontalCentered="tru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&amp;CFIN3-WKN-152 | Page &amp;P of &amp;N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4"/>
    <col collapsed="false" customWidth="true" hidden="false" outlineLevel="0" max="5" min="3" style="0" width="18"/>
    <col collapsed="false" customWidth="true" hidden="false" outlineLevel="0" max="6" min="6" style="0" width="14"/>
    <col collapsed="false" customWidth="true" hidden="false" outlineLevel="0" max="7" min="7" style="0" width="28"/>
    <col collapsed="false" customWidth="true" hidden="false" outlineLevel="0" max="8" min="8" style="0" width="42"/>
    <col collapsed="false" customWidth="true" hidden="false" outlineLevel="0" max="9" min="9" style="0" width="72"/>
  </cols>
  <sheetData>
    <row r="1" customFormat="false" ht="19.7" hidden="false" customHeight="false" outlineLevel="0" collapsed="false">
      <c r="A1" s="1" t="s">
        <v>531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532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3" t="s">
        <v>533</v>
      </c>
      <c r="B4" s="3" t="s">
        <v>534</v>
      </c>
      <c r="C4" s="3" t="s">
        <v>535</v>
      </c>
      <c r="D4" s="3" t="s">
        <v>536</v>
      </c>
      <c r="E4" s="3" t="s">
        <v>537</v>
      </c>
      <c r="F4" s="3" t="s">
        <v>4</v>
      </c>
      <c r="G4" s="3" t="s">
        <v>538</v>
      </c>
      <c r="H4" s="3" t="s">
        <v>387</v>
      </c>
      <c r="I4" s="3" t="s">
        <v>121</v>
      </c>
    </row>
    <row r="5" customFormat="false" ht="15" hidden="false" customHeight="false" outlineLevel="0" collapsed="false">
      <c r="A5" s="4" t="s">
        <v>539</v>
      </c>
      <c r="B5" s="4" t="s">
        <v>540</v>
      </c>
      <c r="C5" s="10" t="n">
        <f aca="false">SUM(50.1,50.8,52.3,53.6,54.9,55.7,56.4,57.1,57.9,58.6,59.3,60.001,57.1)</f>
        <v>723.801</v>
      </c>
      <c r="D5" s="10" t="n">
        <f aca="false">Inputs!$B$5</f>
        <v>666.701</v>
      </c>
      <c r="E5" s="10" t="n">
        <f aca="false">C5-D5</f>
        <v>57.1</v>
      </c>
      <c r="F5" s="4" t="s">
        <v>10</v>
      </c>
      <c r="G5" s="28" t="s">
        <v>541</v>
      </c>
      <c r="H5" s="4" t="s">
        <v>542</v>
      </c>
      <c r="I5" s="4" t="s">
        <v>337</v>
      </c>
    </row>
    <row r="6" customFormat="false" ht="15" hidden="false" customHeight="false" outlineLevel="0" collapsed="false">
      <c r="A6" s="4" t="s">
        <v>539</v>
      </c>
      <c r="B6" s="4" t="s">
        <v>543</v>
      </c>
      <c r="C6" s="10" t="n">
        <f aca="false">SUM(50.1,50.8,52.3,53.6,54.9,55.7,56.4,57.1,57.9,58.6,59.3,60.001)</f>
        <v>666.701</v>
      </c>
      <c r="D6" s="10" t="n">
        <f aca="false">Inputs!$B$5</f>
        <v>666.701</v>
      </c>
      <c r="E6" s="10" t="n">
        <f aca="false">C6-D6</f>
        <v>0</v>
      </c>
      <c r="F6" s="4" t="s">
        <v>10</v>
      </c>
      <c r="G6" s="4" t="s">
        <v>544</v>
      </c>
      <c r="H6" s="4" t="s">
        <v>416</v>
      </c>
      <c r="I6" s="4" t="s">
        <v>337</v>
      </c>
    </row>
    <row r="7" customFormat="false" ht="15" hidden="false" customHeight="false" outlineLevel="0" collapsed="false">
      <c r="A7" s="4" t="s">
        <v>539</v>
      </c>
      <c r="B7" s="4" t="s">
        <v>545</v>
      </c>
      <c r="C7" s="10" t="n">
        <f aca="false">SUM(60.1,61.25,63.4,64.8,66.1,67.3,68.5,69.2,70.1,71.4,72.9,68.979,66.5)</f>
        <v>870.529</v>
      </c>
      <c r="D7" s="10" t="n">
        <f aca="false">Inputs!$B$6</f>
        <v>804.029</v>
      </c>
      <c r="E7" s="10" t="n">
        <f aca="false">C7-D7</f>
        <v>66.5</v>
      </c>
      <c r="F7" s="4" t="s">
        <v>10</v>
      </c>
      <c r="G7" s="28" t="s">
        <v>546</v>
      </c>
      <c r="H7" s="4" t="s">
        <v>547</v>
      </c>
      <c r="I7" s="4" t="s">
        <v>337</v>
      </c>
    </row>
    <row r="8" customFormat="false" ht="15" hidden="false" customHeight="false" outlineLevel="0" collapsed="false">
      <c r="A8" s="4" t="s">
        <v>539</v>
      </c>
      <c r="B8" s="4" t="s">
        <v>548</v>
      </c>
      <c r="C8" s="10" t="n">
        <f aca="false">SUM(60.1,61.25,63.4,64.8,66.1,67.3,68.5,69.2,70.1,71.4,72.9,68.979)</f>
        <v>804.029</v>
      </c>
      <c r="D8" s="10" t="n">
        <f aca="false">Inputs!$B$6</f>
        <v>804.029</v>
      </c>
      <c r="E8" s="10" t="n">
        <f aca="false">C8-D8</f>
        <v>0</v>
      </c>
      <c r="F8" s="4" t="s">
        <v>10</v>
      </c>
      <c r="G8" s="4" t="s">
        <v>544</v>
      </c>
      <c r="H8" s="4" t="s">
        <v>416</v>
      </c>
      <c r="I8" s="4" t="s">
        <v>337</v>
      </c>
    </row>
    <row r="9" customFormat="false" ht="15" hidden="false" customHeight="false" outlineLevel="0" collapsed="false">
      <c r="A9" s="4" t="s">
        <v>539</v>
      </c>
      <c r="B9" s="4" t="s">
        <v>549</v>
      </c>
      <c r="C9" s="10" t="n">
        <f aca="false">SUM(60.1,61.25,63.4,64.8,66.1,67.3,68.5,69.2,70.1,71.4,72.9,66.5)</f>
        <v>801.55</v>
      </c>
      <c r="D9" s="10" t="n">
        <f aca="false">Inputs!$B$6</f>
        <v>804.029</v>
      </c>
      <c r="E9" s="10" t="n">
        <f aca="false">C9-D9</f>
        <v>-2.47900000000004</v>
      </c>
      <c r="F9" s="4" t="s">
        <v>10</v>
      </c>
      <c r="G9" s="28" t="s">
        <v>550</v>
      </c>
      <c r="H9" s="4" t="s">
        <v>551</v>
      </c>
      <c r="I9" s="4" t="s">
        <v>337</v>
      </c>
    </row>
    <row r="10" customFormat="false" ht="15" hidden="false" customHeight="false" outlineLevel="0" collapsed="false">
      <c r="A10" s="4" t="s">
        <v>552</v>
      </c>
      <c r="B10" s="4" t="s">
        <v>553</v>
      </c>
      <c r="C10" s="10" t="n">
        <f aca="false">SUM(184.75,198.2,207.8,213.279)</f>
        <v>804.029</v>
      </c>
      <c r="D10" s="10" t="n">
        <f aca="false">Inputs!$B$6</f>
        <v>804.029</v>
      </c>
      <c r="E10" s="10" t="n">
        <f aca="false">C10-D10</f>
        <v>0</v>
      </c>
      <c r="F10" s="4" t="s">
        <v>10</v>
      </c>
      <c r="G10" s="4" t="s">
        <v>415</v>
      </c>
      <c r="H10" s="4" t="s">
        <v>554</v>
      </c>
      <c r="I10" s="4" t="s">
        <v>555</v>
      </c>
    </row>
    <row r="11" customFormat="false" ht="15" hidden="false" customHeight="false" outlineLevel="0" collapsed="false">
      <c r="A11" s="4" t="s">
        <v>556</v>
      </c>
      <c r="B11" s="4" t="s">
        <v>557</v>
      </c>
      <c r="C11" s="10" t="n">
        <f aca="false">SUM(788.782,152.47)</f>
        <v>941.252</v>
      </c>
      <c r="D11" s="10" t="n">
        <f aca="false">Inputs!$B$6</f>
        <v>804.029</v>
      </c>
      <c r="E11" s="10" t="n">
        <f aca="false">C11-D11</f>
        <v>137.223</v>
      </c>
      <c r="F11" s="4" t="s">
        <v>10</v>
      </c>
      <c r="G11" s="28" t="s">
        <v>558</v>
      </c>
      <c r="H11" s="4" t="s">
        <v>559</v>
      </c>
      <c r="I11" s="4" t="s">
        <v>352</v>
      </c>
    </row>
    <row r="12" customFormat="false" ht="28.35" hidden="false" customHeight="false" outlineLevel="0" collapsed="false">
      <c r="A12" s="4" t="s">
        <v>556</v>
      </c>
      <c r="B12" s="4" t="s">
        <v>560</v>
      </c>
      <c r="C12" s="10" t="n">
        <f aca="false">SUM(788.782,15.247)</f>
        <v>804.029</v>
      </c>
      <c r="D12" s="10" t="n">
        <f aca="false">Inputs!$B$6</f>
        <v>804.029</v>
      </c>
      <c r="E12" s="10" t="n">
        <f aca="false">C12-D12</f>
        <v>0</v>
      </c>
      <c r="F12" s="4" t="s">
        <v>10</v>
      </c>
      <c r="G12" s="4" t="s">
        <v>544</v>
      </c>
      <c r="H12" s="4" t="s">
        <v>416</v>
      </c>
      <c r="I12" s="4" t="s">
        <v>561</v>
      </c>
    </row>
    <row r="13" customFormat="false" ht="15" hidden="false" customHeight="false" outlineLevel="0" collapsed="false">
      <c r="A13" s="4" t="s">
        <v>562</v>
      </c>
      <c r="B13" s="4" t="s">
        <v>563</v>
      </c>
      <c r="C13" s="10" t="n">
        <f aca="false">SUM(620.5,183.529)</f>
        <v>804.029</v>
      </c>
      <c r="D13" s="10" t="n">
        <f aca="false">Inputs!$B$6</f>
        <v>804.029</v>
      </c>
      <c r="E13" s="10" t="n">
        <f aca="false">C13-D13</f>
        <v>0</v>
      </c>
      <c r="F13" s="4" t="s">
        <v>10</v>
      </c>
      <c r="G13" s="4" t="s">
        <v>415</v>
      </c>
      <c r="H13" s="4" t="s">
        <v>554</v>
      </c>
      <c r="I13" s="4" t="s">
        <v>564</v>
      </c>
    </row>
    <row r="14" customFormat="false" ht="15" hidden="false" customHeight="false" outlineLevel="0" collapsed="false">
      <c r="A14" s="4" t="s">
        <v>30</v>
      </c>
      <c r="B14" s="4" t="s">
        <v>565</v>
      </c>
      <c r="C14" s="10" t="n">
        <f aca="false">SUM(38.5,5.2,1.9,3.486)</f>
        <v>49.086</v>
      </c>
      <c r="D14" s="10" t="n">
        <f aca="false">Inputs!$B$9</f>
        <v>49.086</v>
      </c>
      <c r="E14" s="10" t="n">
        <f aca="false">C14-D14</f>
        <v>0</v>
      </c>
      <c r="F14" s="4" t="s">
        <v>10</v>
      </c>
      <c r="G14" s="4" t="s">
        <v>415</v>
      </c>
      <c r="H14" s="4" t="s">
        <v>566</v>
      </c>
      <c r="I14" s="4" t="s">
        <v>357</v>
      </c>
    </row>
    <row r="15" customFormat="false" ht="15" hidden="false" customHeight="false" outlineLevel="0" collapsed="false">
      <c r="A15" s="4" t="s">
        <v>30</v>
      </c>
      <c r="B15" s="4" t="s">
        <v>567</v>
      </c>
      <c r="C15" s="10" t="n">
        <f aca="false">SUM(49.68,0)</f>
        <v>49.68</v>
      </c>
      <c r="D15" s="10" t="n">
        <f aca="false">Inputs!$B$9</f>
        <v>49.086</v>
      </c>
      <c r="E15" s="10" t="n">
        <f aca="false">C15-D15</f>
        <v>0.594000000000001</v>
      </c>
      <c r="F15" s="4" t="s">
        <v>10</v>
      </c>
      <c r="G15" s="28" t="s">
        <v>568</v>
      </c>
      <c r="H15" s="4" t="s">
        <v>569</v>
      </c>
      <c r="I15" s="4" t="s">
        <v>357</v>
      </c>
    </row>
    <row r="16" customFormat="false" ht="15" hidden="false" customHeight="false" outlineLevel="0" collapsed="false">
      <c r="A16" s="4" t="s">
        <v>33</v>
      </c>
      <c r="B16" s="4" t="s">
        <v>570</v>
      </c>
      <c r="C16" s="10" t="n">
        <f aca="false">SUM(5.998,1.4,0.7)</f>
        <v>8.098</v>
      </c>
      <c r="D16" s="10" t="n">
        <f aca="false">Inputs!$B$10</f>
        <v>8.098</v>
      </c>
      <c r="E16" s="10" t="n">
        <f aca="false">C16-D16</f>
        <v>0</v>
      </c>
      <c r="F16" s="4" t="s">
        <v>10</v>
      </c>
      <c r="G16" s="4" t="s">
        <v>415</v>
      </c>
      <c r="H16" s="4" t="s">
        <v>571</v>
      </c>
      <c r="I16" s="4" t="s">
        <v>572</v>
      </c>
    </row>
    <row r="17" customFormat="false" ht="15" hidden="false" customHeight="false" outlineLevel="0" collapsed="false">
      <c r="A17" s="4" t="s">
        <v>33</v>
      </c>
      <c r="B17" s="4" t="s">
        <v>573</v>
      </c>
      <c r="C17" s="10" t="n">
        <f aca="false">SUM(8.098,0)</f>
        <v>8.098</v>
      </c>
      <c r="D17" s="10" t="n">
        <f aca="false">Inputs!$B$10</f>
        <v>8.098</v>
      </c>
      <c r="E17" s="10" t="n">
        <f aca="false">C17-D17</f>
        <v>0</v>
      </c>
      <c r="F17" s="4" t="s">
        <v>10</v>
      </c>
      <c r="G17" s="4" t="s">
        <v>415</v>
      </c>
      <c r="H17" s="4" t="s">
        <v>574</v>
      </c>
      <c r="I17" s="4" t="s">
        <v>572</v>
      </c>
    </row>
    <row r="18" customFormat="false" ht="15" hidden="false" customHeight="false" outlineLevel="0" collapsed="false">
      <c r="A18" s="4" t="s">
        <v>37</v>
      </c>
      <c r="B18" s="4" t="s">
        <v>575</v>
      </c>
      <c r="C18" s="10" t="n">
        <f aca="false">-52.026-ABS(-32.812)</f>
        <v>-84.838</v>
      </c>
      <c r="D18" s="10" t="n">
        <f aca="false">Inputs!$B$11</f>
        <v>-84.838</v>
      </c>
      <c r="E18" s="10" t="n">
        <f aca="false">C18-D18</f>
        <v>0</v>
      </c>
      <c r="F18" s="4" t="s">
        <v>10</v>
      </c>
      <c r="G18" s="4" t="s">
        <v>415</v>
      </c>
      <c r="H18" s="4" t="s">
        <v>416</v>
      </c>
      <c r="I18" s="4" t="s">
        <v>576</v>
      </c>
    </row>
    <row r="19" customFormat="false" ht="15" hidden="false" customHeight="false" outlineLevel="0" collapsed="false">
      <c r="A19" s="4" t="s">
        <v>577</v>
      </c>
      <c r="B19" s="4" t="s">
        <v>578</v>
      </c>
      <c r="C19" s="10" t="n">
        <f aca="false">SUM(-52.026,-45.1,62.492)</f>
        <v>-34.634</v>
      </c>
      <c r="D19" s="10" t="n">
        <f aca="false">SUM(-34.634,0)</f>
        <v>-34.634</v>
      </c>
      <c r="E19" s="10" t="n">
        <f aca="false">C19-D19</f>
        <v>0</v>
      </c>
      <c r="F19" s="4" t="s">
        <v>10</v>
      </c>
      <c r="G19" s="4" t="s">
        <v>415</v>
      </c>
      <c r="H19" s="4" t="s">
        <v>579</v>
      </c>
      <c r="I19" s="4" t="s">
        <v>580</v>
      </c>
    </row>
    <row r="20" customFormat="false" ht="15" hidden="false" customHeight="false" outlineLevel="0" collapsed="false">
      <c r="A20" s="4" t="s">
        <v>577</v>
      </c>
      <c r="B20" s="4" t="s">
        <v>581</v>
      </c>
      <c r="C20" s="10" t="n">
        <f aca="false">SUM(435.81,-34.634)</f>
        <v>401.176</v>
      </c>
      <c r="D20" s="10" t="n">
        <f aca="false">SUM(401.176,0)</f>
        <v>401.176</v>
      </c>
      <c r="E20" s="10" t="n">
        <f aca="false">C20-D20</f>
        <v>0</v>
      </c>
      <c r="F20" s="4" t="s">
        <v>10</v>
      </c>
      <c r="G20" s="4" t="s">
        <v>415</v>
      </c>
      <c r="H20" s="4" t="s">
        <v>582</v>
      </c>
      <c r="I20" s="4" t="s">
        <v>580</v>
      </c>
    </row>
    <row r="21" customFormat="false" ht="15" hidden="false" customHeight="false" outlineLevel="0" collapsed="false">
      <c r="A21" s="4" t="s">
        <v>583</v>
      </c>
      <c r="B21" s="4" t="s">
        <v>584</v>
      </c>
      <c r="C21" s="10" t="n">
        <f aca="false">SUM(401.176,811.946)</f>
        <v>1213.122</v>
      </c>
      <c r="D21" s="10" t="n">
        <f aca="false">SUM(1213.122,0)</f>
        <v>1213.122</v>
      </c>
      <c r="E21" s="10" t="n">
        <f aca="false">C21-D21</f>
        <v>0</v>
      </c>
      <c r="F21" s="4" t="s">
        <v>10</v>
      </c>
      <c r="G21" s="4" t="s">
        <v>415</v>
      </c>
      <c r="H21" s="4" t="s">
        <v>585</v>
      </c>
      <c r="I21" s="4" t="s">
        <v>586</v>
      </c>
    </row>
    <row r="22" customFormat="false" ht="15" hidden="false" customHeight="false" outlineLevel="0" collapsed="false">
      <c r="A22" s="4" t="s">
        <v>587</v>
      </c>
      <c r="B22" s="4" t="s">
        <v>588</v>
      </c>
      <c r="C22" s="10" t="n">
        <f aca="false">SUM(804.029,0)</f>
        <v>804.029</v>
      </c>
      <c r="D22" s="10" t="n">
        <f aca="false">Inputs!$B$6</f>
        <v>804.029</v>
      </c>
      <c r="E22" s="10" t="n">
        <f aca="false">C22-D22</f>
        <v>0</v>
      </c>
      <c r="F22" s="4" t="s">
        <v>10</v>
      </c>
      <c r="G22" s="4" t="s">
        <v>415</v>
      </c>
      <c r="H22" s="4" t="s">
        <v>416</v>
      </c>
      <c r="I22" s="4" t="s">
        <v>589</v>
      </c>
    </row>
    <row r="23" customFormat="false" ht="15" hidden="false" customHeight="false" outlineLevel="0" collapsed="false">
      <c r="A23" s="4" t="s">
        <v>587</v>
      </c>
      <c r="B23" s="4" t="s">
        <v>590</v>
      </c>
      <c r="C23" s="10" t="n">
        <f aca="false">SUM(-90.824,0)</f>
        <v>-90.824</v>
      </c>
      <c r="D23" s="10" t="n">
        <f aca="false">SUM(-1299.224,-(-1208.4))</f>
        <v>-90.8239999999998</v>
      </c>
      <c r="E23" s="10" t="n">
        <f aca="false">C23-D23</f>
        <v>0</v>
      </c>
      <c r="F23" s="4" t="s">
        <v>10</v>
      </c>
      <c r="G23" s="4" t="s">
        <v>415</v>
      </c>
      <c r="H23" s="4" t="s">
        <v>416</v>
      </c>
      <c r="I23" s="4" t="s">
        <v>589</v>
      </c>
    </row>
    <row r="24" customFormat="false" ht="15" hidden="false" customHeight="false" outlineLevel="0" collapsed="false">
      <c r="A24" s="4" t="s">
        <v>591</v>
      </c>
      <c r="B24" s="4" t="s">
        <v>592</v>
      </c>
      <c r="C24" s="10" t="n">
        <f aca="false">SUM(119.9,438.4,196.3,158.9)</f>
        <v>913.5</v>
      </c>
      <c r="D24" s="10" t="n">
        <f aca="false">SUM(913.5,0)</f>
        <v>913.5</v>
      </c>
      <c r="E24" s="10" t="n">
        <f aca="false">C24-D24</f>
        <v>0</v>
      </c>
      <c r="F24" s="4" t="s">
        <v>10</v>
      </c>
      <c r="G24" s="4" t="s">
        <v>415</v>
      </c>
      <c r="H24" s="4" t="s">
        <v>593</v>
      </c>
      <c r="I24" s="4" t="s">
        <v>594</v>
      </c>
    </row>
    <row r="25" customFormat="false" ht="15" hidden="false" customHeight="false" outlineLevel="0" collapsed="false">
      <c r="A25" s="4" t="s">
        <v>595</v>
      </c>
      <c r="B25" s="4" t="s">
        <v>596</v>
      </c>
      <c r="C25" s="10" t="n">
        <f aca="false">-1299.224-(-1208.4)</f>
        <v>-90.8239999999998</v>
      </c>
      <c r="D25" s="10" t="n">
        <f aca="false">SUM(-90.824,0)</f>
        <v>-90.824</v>
      </c>
      <c r="E25" s="10" t="n">
        <f aca="false">C25-D25</f>
        <v>0</v>
      </c>
      <c r="F25" s="4" t="s">
        <v>10</v>
      </c>
      <c r="G25" s="4" t="s">
        <v>415</v>
      </c>
      <c r="H25" s="4" t="s">
        <v>597</v>
      </c>
      <c r="I25" s="4" t="s">
        <v>598</v>
      </c>
    </row>
    <row r="26" customFormat="false" ht="15" hidden="false" customHeight="false" outlineLevel="0" collapsed="false">
      <c r="A26" s="4" t="s">
        <v>599</v>
      </c>
      <c r="B26" s="4" t="s">
        <v>600</v>
      </c>
      <c r="C26" s="15" t="n">
        <f aca="false">SUM(40,70,15,10,5.716563,3)</f>
        <v>143.716563</v>
      </c>
      <c r="D26" s="15" t="n">
        <f aca="false">Inputs!$B$14</f>
        <v>143.716563</v>
      </c>
      <c r="E26" s="15" t="n">
        <f aca="false">C26-D26</f>
        <v>0</v>
      </c>
      <c r="F26" s="4" t="s">
        <v>49</v>
      </c>
      <c r="G26" s="4" t="s">
        <v>415</v>
      </c>
      <c r="H26" s="4" t="s">
        <v>601</v>
      </c>
      <c r="I26" s="4" t="s">
        <v>513</v>
      </c>
    </row>
    <row r="27" customFormat="false" ht="15" hidden="false" customHeight="false" outlineLevel="0" collapsed="false">
      <c r="A27" s="4" t="s">
        <v>599</v>
      </c>
      <c r="B27" s="4" t="s">
        <v>602</v>
      </c>
      <c r="C27" s="15" t="n">
        <f aca="false">SUM(40,70,15,10,5.716563,3)</f>
        <v>143.716563</v>
      </c>
      <c r="D27" s="15" t="n">
        <f aca="false">Inputs!$B$14</f>
        <v>143.716563</v>
      </c>
      <c r="E27" s="15" t="n">
        <f aca="false">C27-D27</f>
        <v>0</v>
      </c>
      <c r="F27" s="4" t="s">
        <v>49</v>
      </c>
      <c r="G27" s="28" t="s">
        <v>603</v>
      </c>
      <c r="H27" s="4" t="s">
        <v>604</v>
      </c>
      <c r="I27" s="4" t="s">
        <v>605</v>
      </c>
    </row>
    <row r="28" customFormat="false" ht="15" hidden="false" customHeight="false" outlineLevel="0" collapsed="false">
      <c r="A28" s="4" t="s">
        <v>599</v>
      </c>
      <c r="B28" s="4" t="s">
        <v>606</v>
      </c>
      <c r="C28" s="15" t="n">
        <f aca="false">SUM(141.2,0)</f>
        <v>141.2</v>
      </c>
      <c r="D28" s="15" t="n">
        <f aca="false">Inputs!$B$14</f>
        <v>143.716563</v>
      </c>
      <c r="E28" s="15" t="n">
        <f aca="false">C28-D28</f>
        <v>-2.51656300000002</v>
      </c>
      <c r="F28" s="4" t="s">
        <v>49</v>
      </c>
      <c r="G28" s="28" t="s">
        <v>607</v>
      </c>
      <c r="H28" s="4" t="s">
        <v>608</v>
      </c>
      <c r="I28" s="4" t="s">
        <v>363</v>
      </c>
    </row>
    <row r="29" customFormat="false" ht="28.35" hidden="false" customHeight="false" outlineLevel="0" collapsed="false">
      <c r="A29" s="4" t="s">
        <v>599</v>
      </c>
      <c r="B29" s="4" t="s">
        <v>609</v>
      </c>
      <c r="C29" s="15" t="n">
        <f aca="false">SUM(40,70,15,10,3)</f>
        <v>138</v>
      </c>
      <c r="D29" s="15" t="n">
        <f aca="false">SUM(141.2,0)</f>
        <v>141.2</v>
      </c>
      <c r="E29" s="15" t="n">
        <f aca="false">C29-D29</f>
        <v>-3.19999999999999</v>
      </c>
      <c r="F29" s="4" t="s">
        <v>49</v>
      </c>
      <c r="G29" s="28" t="s">
        <v>610</v>
      </c>
      <c r="H29" s="4" t="s">
        <v>611</v>
      </c>
      <c r="I29" s="4" t="s">
        <v>363</v>
      </c>
    </row>
    <row r="30" customFormat="false" ht="15" hidden="false" customHeight="false" outlineLevel="0" collapsed="false">
      <c r="A30" s="4" t="s">
        <v>468</v>
      </c>
      <c r="B30" s="4" t="s">
        <v>612</v>
      </c>
      <c r="C30" s="15" t="n">
        <f aca="false">SUM(Inputs!$B$20,Inputs!$B$22)</f>
        <v>22</v>
      </c>
      <c r="D30" s="15" t="n">
        <f aca="false">SUM(Inputs!$B$25,Inputs!$B$26)</f>
        <v>22</v>
      </c>
      <c r="E30" s="15" t="n">
        <f aca="false">C30-D30</f>
        <v>0</v>
      </c>
      <c r="F30" s="4" t="s">
        <v>49</v>
      </c>
      <c r="G30" s="4" t="s">
        <v>415</v>
      </c>
      <c r="H30" s="4" t="s">
        <v>613</v>
      </c>
      <c r="I30" s="4" t="s">
        <v>465</v>
      </c>
    </row>
    <row r="31" customFormat="false" ht="15" hidden="false" customHeight="false" outlineLevel="0" collapsed="false">
      <c r="A31" s="4" t="s">
        <v>468</v>
      </c>
      <c r="B31" s="4" t="s">
        <v>614</v>
      </c>
      <c r="C31" s="15" t="n">
        <f aca="false">SUM(Inputs!$B$20,Inputs!$B$22,Inputs!$B$24)</f>
        <v>25.3</v>
      </c>
      <c r="D31" s="15" t="n">
        <f aca="false">SUM(Inputs!$B$25,Inputs!$B$26,Inputs!$B$27)</f>
        <v>25.3</v>
      </c>
      <c r="E31" s="15" t="n">
        <f aca="false">C31-D31</f>
        <v>0</v>
      </c>
      <c r="F31" s="4" t="s">
        <v>49</v>
      </c>
      <c r="G31" s="4" t="s">
        <v>415</v>
      </c>
      <c r="H31" s="4" t="s">
        <v>615</v>
      </c>
      <c r="I31" s="4" t="s">
        <v>465</v>
      </c>
    </row>
  </sheetData>
  <autoFilter ref="A4:I31"/>
  <mergeCells count="2">
    <mergeCell ref="A1:I1"/>
    <mergeCell ref="A2:I2"/>
  </mergeCells>
  <printOptions headings="false" gridLines="false" gridLinesSet="true" horizontalCentered="tru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&amp;CFIN3-WKN-152 | Page &amp;P of &amp;N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8"/>
    <col collapsed="false" customWidth="true" hidden="false" outlineLevel="0" max="3" min="3" style="0" width="62"/>
    <col collapsed="false" customWidth="true" hidden="false" outlineLevel="0" max="4" min="4" style="0" width="14"/>
    <col collapsed="false" customWidth="true" hidden="false" outlineLevel="0" max="5" min="5" style="0" width="36"/>
  </cols>
  <sheetData>
    <row r="1" customFormat="false" ht="19.7" hidden="false" customHeight="false" outlineLevel="0" collapsed="false">
      <c r="A1" s="1" t="s">
        <v>616</v>
      </c>
      <c r="B1" s="1"/>
      <c r="C1" s="1"/>
      <c r="D1" s="1"/>
      <c r="E1" s="1"/>
    </row>
    <row r="2" customFormat="false" ht="15" hidden="false" customHeight="false" outlineLevel="0" collapsed="false">
      <c r="A2" s="2" t="s">
        <v>617</v>
      </c>
      <c r="B2" s="2"/>
      <c r="C2" s="2"/>
      <c r="D2" s="2"/>
      <c r="E2" s="2"/>
    </row>
    <row r="4" customFormat="false" ht="15" hidden="false" customHeight="false" outlineLevel="0" collapsed="false">
      <c r="A4" s="3" t="s">
        <v>618</v>
      </c>
      <c r="B4" s="3" t="s">
        <v>382</v>
      </c>
      <c r="C4" s="3" t="s">
        <v>235</v>
      </c>
      <c r="D4" s="3" t="s">
        <v>619</v>
      </c>
      <c r="E4" s="3" t="s">
        <v>269</v>
      </c>
    </row>
    <row r="5" customFormat="false" ht="15" hidden="false" customHeight="false" outlineLevel="0" collapsed="false">
      <c r="A5" s="4" t="s">
        <v>620</v>
      </c>
      <c r="B5" s="4" t="s">
        <v>621</v>
      </c>
      <c r="C5" s="4" t="s">
        <v>622</v>
      </c>
      <c r="D5" s="4" t="s">
        <v>623</v>
      </c>
      <c r="E5" s="4" t="s">
        <v>624</v>
      </c>
    </row>
    <row r="6" customFormat="false" ht="15" hidden="false" customHeight="false" outlineLevel="0" collapsed="false">
      <c r="A6" s="4" t="s">
        <v>620</v>
      </c>
      <c r="B6" s="4" t="s">
        <v>625</v>
      </c>
      <c r="C6" s="4" t="s">
        <v>626</v>
      </c>
      <c r="D6" s="4" t="s">
        <v>623</v>
      </c>
      <c r="E6" s="4" t="s">
        <v>627</v>
      </c>
    </row>
    <row r="7" customFormat="false" ht="15" hidden="false" customHeight="false" outlineLevel="0" collapsed="false">
      <c r="A7" s="4" t="s">
        <v>620</v>
      </c>
      <c r="B7" s="4" t="s">
        <v>628</v>
      </c>
      <c r="C7" s="4" t="s">
        <v>629</v>
      </c>
      <c r="D7" s="4" t="s">
        <v>623</v>
      </c>
      <c r="E7" s="4" t="s">
        <v>134</v>
      </c>
    </row>
    <row r="8" customFormat="false" ht="15" hidden="false" customHeight="false" outlineLevel="0" collapsed="false">
      <c r="A8" s="4" t="s">
        <v>620</v>
      </c>
      <c r="B8" s="4" t="s">
        <v>630</v>
      </c>
      <c r="C8" s="4" t="s">
        <v>631</v>
      </c>
      <c r="D8" s="4" t="s">
        <v>623</v>
      </c>
      <c r="E8" s="4" t="s">
        <v>632</v>
      </c>
    </row>
    <row r="9" customFormat="false" ht="15" hidden="false" customHeight="false" outlineLevel="0" collapsed="false">
      <c r="A9" s="4" t="s">
        <v>620</v>
      </c>
      <c r="B9" s="4" t="s">
        <v>633</v>
      </c>
      <c r="C9" s="4" t="s">
        <v>634</v>
      </c>
      <c r="D9" s="4" t="s">
        <v>623</v>
      </c>
      <c r="E9" s="4" t="s">
        <v>42</v>
      </c>
    </row>
    <row r="10" customFormat="false" ht="15" hidden="false" customHeight="false" outlineLevel="0" collapsed="false">
      <c r="A10" s="4" t="s">
        <v>620</v>
      </c>
      <c r="B10" s="4" t="s">
        <v>635</v>
      </c>
      <c r="C10" s="4" t="s">
        <v>636</v>
      </c>
      <c r="D10" s="4" t="s">
        <v>623</v>
      </c>
      <c r="E10" s="4" t="s">
        <v>62</v>
      </c>
    </row>
    <row r="11" customFormat="false" ht="15" hidden="false" customHeight="false" outlineLevel="0" collapsed="false">
      <c r="A11" s="4" t="s">
        <v>620</v>
      </c>
      <c r="B11" s="4" t="s">
        <v>637</v>
      </c>
      <c r="C11" s="4" t="s">
        <v>638</v>
      </c>
      <c r="D11" s="4" t="s">
        <v>623</v>
      </c>
      <c r="E11" s="4" t="s">
        <v>639</v>
      </c>
    </row>
    <row r="12" customFormat="false" ht="15" hidden="false" customHeight="false" outlineLevel="0" collapsed="false">
      <c r="A12" s="4" t="s">
        <v>107</v>
      </c>
      <c r="B12" s="4" t="s">
        <v>640</v>
      </c>
      <c r="C12" s="4" t="s">
        <v>641</v>
      </c>
      <c r="D12" s="4" t="s">
        <v>623</v>
      </c>
      <c r="E12" s="4" t="s">
        <v>223</v>
      </c>
    </row>
    <row r="13" customFormat="false" ht="28.35" hidden="false" customHeight="false" outlineLevel="0" collapsed="false">
      <c r="A13" s="4" t="s">
        <v>642</v>
      </c>
      <c r="B13" s="4" t="s">
        <v>643</v>
      </c>
      <c r="C13" s="25" t="b">
        <f aca="false">AND(Inputs!$B$20=Inputs!$B$25,Inputs!$B$22=Inputs!$B$26,Inputs!$B$24=Inputs!$B$27)</f>
        <v>1</v>
      </c>
      <c r="D13" s="4" t="s">
        <v>623</v>
      </c>
      <c r="E13" s="4" t="s">
        <v>644</v>
      </c>
    </row>
    <row r="14" customFormat="false" ht="15" hidden="false" customHeight="false" outlineLevel="0" collapsed="false">
      <c r="A14" s="4" t="s">
        <v>642</v>
      </c>
      <c r="B14" s="4" t="s">
        <v>645</v>
      </c>
      <c r="C14" s="25" t="b">
        <f aca="false">Inputs!$B$21=Inputs!$B$20+Inputs!$B$24</f>
        <v>1</v>
      </c>
      <c r="D14" s="4" t="s">
        <v>623</v>
      </c>
      <c r="E14" s="4" t="s">
        <v>644</v>
      </c>
    </row>
    <row r="15" customFormat="false" ht="15" hidden="false" customHeight="false" outlineLevel="0" collapsed="false">
      <c r="A15" s="4" t="s">
        <v>642</v>
      </c>
      <c r="B15" s="4" t="s">
        <v>646</v>
      </c>
      <c r="C15" s="25" t="b">
        <f aca="false">Offering_Proceeds!B9=Inputs!$B$25+Inputs!$B$26</f>
        <v>1</v>
      </c>
      <c r="D15" s="4" t="s">
        <v>623</v>
      </c>
      <c r="E15" s="4" t="s">
        <v>644</v>
      </c>
    </row>
    <row r="16" customFormat="false" ht="15" hidden="false" customHeight="false" outlineLevel="0" collapsed="false">
      <c r="A16" s="4" t="s">
        <v>642</v>
      </c>
      <c r="B16" s="4" t="s">
        <v>647</v>
      </c>
      <c r="C16" s="25" t="b">
        <f aca="false">AND(Inputs!$B$23=0,Offering_Proceeds!B8=0)</f>
        <v>1</v>
      </c>
      <c r="D16" s="4" t="s">
        <v>623</v>
      </c>
      <c r="E16" s="4" t="s">
        <v>644</v>
      </c>
    </row>
    <row r="17" customFormat="false" ht="28.35" hidden="false" customHeight="false" outlineLevel="0" collapsed="false">
      <c r="A17" s="4" t="s">
        <v>642</v>
      </c>
      <c r="B17" s="4" t="s">
        <v>648</v>
      </c>
      <c r="C17" s="25" t="b">
        <f aca="false">Offering_Proceeds!B15=0</f>
        <v>1</v>
      </c>
      <c r="D17" s="4" t="s">
        <v>623</v>
      </c>
      <c r="E17" s="4" t="s">
        <v>644</v>
      </c>
    </row>
    <row r="18" customFormat="false" ht="15" hidden="false" customHeight="false" outlineLevel="0" collapsed="false">
      <c r="A18" s="4" t="s">
        <v>642</v>
      </c>
      <c r="B18" s="4" t="s">
        <v>649</v>
      </c>
      <c r="C18" s="25" t="b">
        <f aca="false">Dilution!B8=Inputs!$B$14+Inputs!$B$20</f>
        <v>1</v>
      </c>
      <c r="D18" s="4" t="s">
        <v>623</v>
      </c>
      <c r="E18" s="4" t="s">
        <v>644</v>
      </c>
    </row>
    <row r="19" customFormat="false" ht="15" hidden="false" customHeight="false" outlineLevel="0" collapsed="false">
      <c r="A19" s="4" t="s">
        <v>642</v>
      </c>
      <c r="B19" s="4" t="s">
        <v>650</v>
      </c>
      <c r="C19" s="25" t="b">
        <f aca="false">Dilution!C8=Inputs!$B$14+Inputs!$B$20+Inputs!$B$24</f>
        <v>1</v>
      </c>
      <c r="D19" s="4" t="s">
        <v>623</v>
      </c>
      <c r="E19" s="4" t="s">
        <v>644</v>
      </c>
    </row>
    <row r="20" customFormat="false" ht="28.35" hidden="false" customHeight="false" outlineLevel="0" collapsed="false">
      <c r="A20" s="4" t="s">
        <v>642</v>
      </c>
      <c r="B20" s="4" t="s">
        <v>651</v>
      </c>
      <c r="C20" s="25" t="b">
        <f aca="false">AND(Offering_Proceeds!B12=Offering_Proceeds!B10*Offering_Proceeds!B11,Offering_Proceeds!C12=Offering_Proceeds!C10*Offering_Proceeds!C11)</f>
        <v>1</v>
      </c>
      <c r="D20" s="4" t="s">
        <v>623</v>
      </c>
      <c r="E20" s="4" t="s">
        <v>644</v>
      </c>
    </row>
    <row r="21" customFormat="false" ht="28.35" hidden="false" customHeight="false" outlineLevel="0" collapsed="false">
      <c r="A21" s="4" t="s">
        <v>642</v>
      </c>
      <c r="B21" s="4" t="s">
        <v>652</v>
      </c>
      <c r="C21" s="25" t="b">
        <f aca="false">AND(Offering_Proceeds!B14=Offering_Proceeds!B10-Offering_Proceeds!B12-Offering_Proceeds!B13,Offering_Proceeds!C14=Offering_Proceeds!C10-Offering_Proceeds!C12-Offering_Proceeds!C13)</f>
        <v>1</v>
      </c>
      <c r="D21" s="4" t="s">
        <v>623</v>
      </c>
      <c r="E21" s="4" t="s">
        <v>644</v>
      </c>
    </row>
    <row r="22" customFormat="false" ht="15" hidden="false" customHeight="false" outlineLevel="0" collapsed="false">
      <c r="A22" s="4" t="s">
        <v>642</v>
      </c>
      <c r="B22" s="4" t="s">
        <v>653</v>
      </c>
      <c r="C22" s="25" t="b">
        <f aca="false">AND(ABS(Tieout_Detail!E6)&lt;0.0000001,ABS(Tieout_Detail!E8)&lt;0.0000001,ABS(Tieout_Detail!E10)&lt;0.0000001,ABS(Tieout_Detail!E12)&lt;0.0000001,ABS(Tieout_Detail!E13)&lt;0.0000001,ABS(Tieout_Detail!E14)&lt;0.0000001,ABS(Tieout_Detail!E16)&lt;0.0000001,ABS(Tieout_Detail!E17)&lt;0.0000001,ABS(Tieout_Detail!E18)&lt;0.0000001,ABS(Tieout_Detail!E21)&lt;0.0000001,ABS(Tieout_Detail!E22)&lt;0.0000001,ABS(Tieout_Detail!E25)&lt;0.0000001,ABS(Tieout_Detail!E26)&lt;0.0000001,ABS(Tieout_Detail!E30)&lt;0.0000001,ABS(Tieout_Detail!E31)&lt;0.0000001)</f>
        <v>1</v>
      </c>
      <c r="D22" s="4" t="s">
        <v>623</v>
      </c>
      <c r="E22" s="4" t="s">
        <v>644</v>
      </c>
    </row>
    <row r="23" customFormat="false" ht="15" hidden="false" customHeight="false" outlineLevel="0" collapsed="false">
      <c r="A23" s="4" t="s">
        <v>654</v>
      </c>
      <c r="B23" s="4" t="s">
        <v>655</v>
      </c>
      <c r="C23" s="4" t="n">
        <v>8</v>
      </c>
      <c r="D23" s="4" t="s">
        <v>656</v>
      </c>
      <c r="E23" s="4" t="s">
        <v>657</v>
      </c>
    </row>
    <row r="24" customFormat="false" ht="15" hidden="false" customHeight="false" outlineLevel="0" collapsed="false">
      <c r="A24" s="4" t="s">
        <v>654</v>
      </c>
      <c r="B24" s="4" t="s">
        <v>658</v>
      </c>
      <c r="C24" s="4" t="n">
        <v>17</v>
      </c>
      <c r="D24" s="4" t="s">
        <v>656</v>
      </c>
      <c r="E24" s="4" t="s">
        <v>657</v>
      </c>
    </row>
    <row r="25" customFormat="false" ht="15" hidden="false" customHeight="false" outlineLevel="0" collapsed="false">
      <c r="A25" s="4" t="s">
        <v>654</v>
      </c>
      <c r="B25" s="4" t="s">
        <v>659</v>
      </c>
      <c r="C25" s="4" t="n">
        <v>14</v>
      </c>
      <c r="D25" s="4" t="s">
        <v>656</v>
      </c>
      <c r="E25" s="4" t="s">
        <v>657</v>
      </c>
    </row>
    <row r="26" customFormat="false" ht="15" hidden="false" customHeight="false" outlineLevel="0" collapsed="false">
      <c r="A26" s="4" t="s">
        <v>654</v>
      </c>
      <c r="B26" s="4" t="s">
        <v>660</v>
      </c>
      <c r="C26" s="4" t="n">
        <v>4</v>
      </c>
      <c r="D26" s="4" t="s">
        <v>656</v>
      </c>
      <c r="E26" s="4" t="s">
        <v>657</v>
      </c>
    </row>
    <row r="27" customFormat="false" ht="15" hidden="false" customHeight="false" outlineLevel="0" collapsed="false">
      <c r="A27" s="4" t="s">
        <v>654</v>
      </c>
      <c r="B27" s="4" t="s">
        <v>661</v>
      </c>
      <c r="C27" s="4" t="n">
        <v>5</v>
      </c>
      <c r="D27" s="4" t="s">
        <v>656</v>
      </c>
      <c r="E27" s="4" t="s">
        <v>657</v>
      </c>
    </row>
    <row r="28" customFormat="false" ht="15" hidden="false" customHeight="false" outlineLevel="0" collapsed="false">
      <c r="A28" s="4" t="s">
        <v>654</v>
      </c>
      <c r="B28" s="4" t="s">
        <v>662</v>
      </c>
      <c r="C28" s="4" t="n">
        <v>6</v>
      </c>
      <c r="D28" s="4" t="s">
        <v>656</v>
      </c>
      <c r="E28" s="4" t="s">
        <v>657</v>
      </c>
    </row>
    <row r="29" customFormat="false" ht="15" hidden="false" customHeight="false" outlineLevel="0" collapsed="false">
      <c r="A29" s="4" t="s">
        <v>654</v>
      </c>
      <c r="B29" s="4" t="s">
        <v>663</v>
      </c>
      <c r="C29" s="4" t="n">
        <v>4</v>
      </c>
      <c r="D29" s="4" t="s">
        <v>656</v>
      </c>
      <c r="E29" s="4" t="s">
        <v>657</v>
      </c>
    </row>
    <row r="30" customFormat="false" ht="15" hidden="false" customHeight="false" outlineLevel="0" collapsed="false">
      <c r="A30" s="4" t="s">
        <v>654</v>
      </c>
      <c r="B30" s="4" t="s">
        <v>664</v>
      </c>
      <c r="C30" s="4" t="n">
        <v>58</v>
      </c>
      <c r="D30" s="4" t="s">
        <v>656</v>
      </c>
      <c r="E30" s="4" t="s">
        <v>665</v>
      </c>
    </row>
    <row r="31" customFormat="false" ht="15" hidden="false" customHeight="false" outlineLevel="0" collapsed="false">
      <c r="A31" s="4" t="s">
        <v>654</v>
      </c>
      <c r="B31" s="4" t="s">
        <v>666</v>
      </c>
      <c r="C31" s="4" t="n">
        <v>2</v>
      </c>
      <c r="D31" s="4" t="s">
        <v>656</v>
      </c>
      <c r="E31" s="4" t="s">
        <v>667</v>
      </c>
    </row>
    <row r="32" customFormat="false" ht="15" hidden="false" customHeight="false" outlineLevel="0" collapsed="false">
      <c r="A32" s="4" t="s">
        <v>654</v>
      </c>
      <c r="B32" s="4" t="s">
        <v>668</v>
      </c>
      <c r="C32" s="4" t="n">
        <v>60</v>
      </c>
      <c r="D32" s="4" t="s">
        <v>656</v>
      </c>
      <c r="E32" s="4" t="s">
        <v>669</v>
      </c>
    </row>
    <row r="33" customFormat="false" ht="15" hidden="false" customHeight="false" outlineLevel="0" collapsed="false">
      <c r="A33" s="4" t="s">
        <v>670</v>
      </c>
      <c r="B33" s="4" t="s">
        <v>671</v>
      </c>
      <c r="C33" s="4" t="s">
        <v>672</v>
      </c>
      <c r="D33" s="4" t="s">
        <v>623</v>
      </c>
      <c r="E33" s="4" t="s">
        <v>27</v>
      </c>
    </row>
    <row r="34" customFormat="false" ht="15" hidden="false" customHeight="false" outlineLevel="0" collapsed="false">
      <c r="A34" s="4" t="s">
        <v>670</v>
      </c>
      <c r="B34" s="4" t="s">
        <v>673</v>
      </c>
      <c r="C34" s="4" t="s">
        <v>674</v>
      </c>
      <c r="D34" s="4" t="s">
        <v>623</v>
      </c>
      <c r="E34" s="4" t="s">
        <v>99</v>
      </c>
    </row>
    <row r="35" customFormat="false" ht="15" hidden="false" customHeight="false" outlineLevel="0" collapsed="false">
      <c r="A35" s="4" t="s">
        <v>670</v>
      </c>
      <c r="B35" s="4" t="s">
        <v>675</v>
      </c>
      <c r="C35" s="4" t="s">
        <v>676</v>
      </c>
      <c r="D35" s="4" t="s">
        <v>623</v>
      </c>
      <c r="E35" s="4" t="s">
        <v>99</v>
      </c>
    </row>
    <row r="36" customFormat="false" ht="15" hidden="false" customHeight="false" outlineLevel="0" collapsed="false">
      <c r="A36" s="4" t="s">
        <v>670</v>
      </c>
      <c r="B36" s="4" t="s">
        <v>677</v>
      </c>
      <c r="C36" s="4" t="s">
        <v>256</v>
      </c>
      <c r="D36" s="4" t="s">
        <v>623</v>
      </c>
      <c r="E36" s="4" t="s">
        <v>678</v>
      </c>
    </row>
    <row r="37" customFormat="false" ht="28.35" hidden="false" customHeight="false" outlineLevel="0" collapsed="false">
      <c r="A37" s="4" t="s">
        <v>679</v>
      </c>
      <c r="B37" s="4" t="s">
        <v>680</v>
      </c>
      <c r="C37" s="4" t="s">
        <v>681</v>
      </c>
      <c r="D37" s="28" t="s">
        <v>682</v>
      </c>
      <c r="E37" s="4" t="s">
        <v>683</v>
      </c>
    </row>
    <row r="38" customFormat="false" ht="28.35" hidden="false" customHeight="false" outlineLevel="0" collapsed="false">
      <c r="A38" s="4" t="s">
        <v>679</v>
      </c>
      <c r="B38" s="4" t="s">
        <v>684</v>
      </c>
      <c r="C38" s="4" t="s">
        <v>527</v>
      </c>
      <c r="D38" s="28" t="s">
        <v>682</v>
      </c>
      <c r="E38" s="4" t="s">
        <v>685</v>
      </c>
    </row>
  </sheetData>
  <autoFilter ref="A4:E38"/>
  <mergeCells count="2">
    <mergeCell ref="A1:E1"/>
    <mergeCell ref="A2:E2"/>
  </mergeCells>
  <printOptions headings="false" gridLines="false" gridLinesSet="true" horizontalCentered="tru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&amp;CFIN3-WKN-152 | Page 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2026-10-10T06:58:47Z</dcterms:created>
  <dc:creator>openpyxl</dc:creator>
  <dc:description/>
  <dc:language>en-US</dc:language>
  <cp:lastModifiedBy/>
  <dcterms:modified xsi:type="dcterms:W3CDTF">2026-10-10T06:58:48Z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