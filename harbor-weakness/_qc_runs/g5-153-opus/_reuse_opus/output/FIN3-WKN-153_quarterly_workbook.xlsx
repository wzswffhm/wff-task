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Holdings_Summary" sheetId="2" state="visible" r:id="rId2"/>
    <sheet xmlns:r="http://schemas.openxmlformats.org/officeDocument/2006/relationships" name="Valuation_Recalc" sheetId="3" state="visible" r:id="rId3"/>
    <sheet xmlns:r="http://schemas.openxmlformats.org/officeDocument/2006/relationships" name="Nav_Bridge" sheetId="4" state="visible" r:id="rId4"/>
    <sheet xmlns:r="http://schemas.openxmlformats.org/officeDocument/2006/relationships" name="Compliance_Check" sheetId="5" state="visible" r:id="rId5"/>
    <sheet xmlns:r="http://schemas.openxmlformats.org/officeDocument/2006/relationships" name="Issue_Log" sheetId="6" state="visible" r:id="rId6"/>
    <sheet xmlns:r="http://schemas.openxmlformats.org/officeDocument/2006/relationships" name="Task_Status" sheetId="7" state="visible" r:id="rId7"/>
    <sheet xmlns:r="http://schemas.openxmlformats.org/officeDocument/2006/relationships" name="Prev_Report_F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一、材料清点与逐账户覆盖</t>
        </is>
      </c>
    </row>
    <row r="3">
      <c r="A3" s="2" t="inlineStr">
        <is>
          <t>（1）输入材料清点（分目录文件数 + 根散件 勾稽总数）</t>
        </is>
      </c>
    </row>
    <row r="4">
      <c r="A4" s="3" t="inlineStr">
        <is>
          <t>目录</t>
        </is>
      </c>
      <c r="B4" s="3" t="inlineStr">
        <is>
          <t>文件数</t>
        </is>
      </c>
      <c r="C4" s="3" t="inlineStr">
        <is>
          <t>文件清单</t>
        </is>
      </c>
    </row>
    <row r="5">
      <c r="A5" s="4" t="inlineStr">
        <is>
          <t>portfolio</t>
        </is>
      </c>
      <c r="B5" s="4" t="n">
        <v>2</v>
      </c>
      <c r="C5" s="4" t="inlineStr">
        <is>
          <t>holdings_2026Q3.xlsx; security_master.csv</t>
        </is>
      </c>
    </row>
    <row r="6">
      <c r="A6" s="4" t="inlineStr">
        <is>
          <t>valuation</t>
        </is>
      </c>
      <c r="B6" s="4" t="n">
        <v>4</v>
      </c>
      <c r="C6" s="4" t="inlineStr">
        <is>
          <t>accruals_20260930.csv; bank_statement_20260930.csv; nav_report_20260930.csv; price_feed_20260930.csv</t>
        </is>
      </c>
    </row>
    <row r="7">
      <c r="A7" s="4" t="inlineStr">
        <is>
          <t>data</t>
        </is>
      </c>
      <c r="B7" s="4" t="n">
        <v>3</v>
      </c>
      <c r="C7" s="4" t="inlineStr">
        <is>
          <t>benchmark_returns_2026Q3.csv; benchmark_weights_2026Q3.csv; price_feed_20260930_repush.csv</t>
        </is>
      </c>
    </row>
    <row r="8">
      <c r="A8" s="4" t="inlineStr">
        <is>
          <t>rules</t>
        </is>
      </c>
      <c r="B8" s="4" t="n">
        <v>4</v>
      </c>
      <c r="C8" s="4" t="inlineStr">
        <is>
          <t>liquidity_policy.md; recon_runbook.md; restrictions_v2_20260601.md; restrictions_v3_20260901.md</t>
        </is>
      </c>
    </row>
    <row r="9">
      <c r="A9" s="4" t="inlineStr">
        <is>
          <t>reports</t>
        </is>
      </c>
      <c r="B9" s="4" t="n">
        <v>3</v>
      </c>
      <c r="C9" s="4" t="inlineStr">
        <is>
          <t>2026Q1_operation_report.md; 2026Q2_operation_report.md; report_template.md</t>
        </is>
      </c>
    </row>
    <row r="10">
      <c r="A10" s="4" t="inlineStr">
        <is>
          <t>compliance</t>
        </is>
      </c>
      <c r="B10" s="4" t="n">
        <v>3</v>
      </c>
      <c r="C10" s="4" t="inlineStr">
        <is>
          <t>breach_log_2026.csv; limit_monitor_2026Q2.csv; review_checklist.md</t>
        </is>
      </c>
    </row>
    <row r="11">
      <c r="A11" s="4" t="inlineStr">
        <is>
          <t>internal</t>
        </is>
      </c>
      <c r="B11" s="4" t="n">
        <v>4</v>
      </c>
      <c r="C11" s="4" t="inlineStr">
        <is>
          <t>approval_memo_20260928.md; data_dictionary.md; manager_notes.md; ops_email_20261008.txt</t>
        </is>
      </c>
    </row>
    <row r="12">
      <c r="A12" s="4" t="inlineStr">
        <is>
          <t>根目录散件</t>
        </is>
      </c>
      <c r="B12" s="4" t="n">
        <v>2</v>
      </c>
      <c r="C12" s="4" t="inlineStr">
        <is>
          <t>00_README.md; manifest.csv</t>
        </is>
      </c>
    </row>
    <row r="13">
      <c r="A13" s="5" t="inlineStr">
        <is>
          <t>分目录小计</t>
        </is>
      </c>
      <c r="B13" s="4" t="n">
        <v>23</v>
      </c>
      <c r="C13" s="4" t="inlineStr"/>
    </row>
    <row r="14">
      <c r="A14" s="5" t="inlineStr">
        <is>
          <t>根散件</t>
        </is>
      </c>
      <c r="B14" s="4" t="n">
        <v>2</v>
      </c>
      <c r="C14" s="4" t="inlineStr"/>
    </row>
    <row r="15">
      <c r="A15" s="5" t="inlineStr">
        <is>
          <t>合计（勾稽）</t>
        </is>
      </c>
      <c r="B15" s="4" t="n">
        <v>25</v>
      </c>
      <c r="C15" s="4" t="inlineStr">
        <is>
          <t>分目录小计+根散件=合计</t>
        </is>
      </c>
    </row>
    <row r="16">
      <c r="A16" s="5" t="inlineStr">
        <is>
          <t>来源目录数</t>
        </is>
      </c>
      <c r="B16" s="4" t="n">
        <v>7</v>
      </c>
      <c r="C16" s="4" t="inlineStr"/>
    </row>
    <row r="19">
      <c r="A19" s="2" t="inlineStr">
        <is>
          <t>（2）逐账户 sheet 覆盖（十个账户全部读取）</t>
        </is>
      </c>
    </row>
    <row r="20">
      <c r="A20" s="3" t="inlineStr">
        <is>
          <t>账户sheet</t>
        </is>
      </c>
      <c r="B20" s="3" t="inlineStr">
        <is>
          <t>原始行数</t>
        </is>
      </c>
      <c r="C20" s="3" t="inlineStr">
        <is>
          <t>剔除-非估值日</t>
        </is>
      </c>
      <c r="D20" s="3" t="inlineStr">
        <is>
          <t>剔除-主数据非active</t>
        </is>
      </c>
      <c r="E20" s="3" t="inlineStr">
        <is>
          <t>剔除-重复上报</t>
        </is>
      </c>
      <c r="F20" s="3" t="inlineStr">
        <is>
          <t>有效行数</t>
        </is>
      </c>
      <c r="G20" s="3" t="inlineStr">
        <is>
          <t>有效市值(元)</t>
        </is>
      </c>
    </row>
    <row r="21">
      <c r="A21" s="4" t="inlineStr">
        <is>
          <t>acct_01</t>
        </is>
      </c>
      <c r="B21" s="4" t="n">
        <v>42</v>
      </c>
      <c r="C21" s="4" t="n">
        <v>0</v>
      </c>
      <c r="D21" s="4" t="n">
        <v>1</v>
      </c>
      <c r="E21" s="4" t="n">
        <v>1</v>
      </c>
      <c r="F21" s="4" t="n">
        <v>40</v>
      </c>
      <c r="G21" s="4" t="n">
        <v>209239044.02</v>
      </c>
    </row>
    <row r="22">
      <c r="A22" s="4" t="inlineStr">
        <is>
          <t>acct_02</t>
        </is>
      </c>
      <c r="B22" s="4" t="n">
        <v>36</v>
      </c>
      <c r="C22" s="4" t="n">
        <v>1</v>
      </c>
      <c r="D22" s="4" t="n">
        <v>1</v>
      </c>
      <c r="E22" s="4" t="n">
        <v>0</v>
      </c>
      <c r="F22" s="4" t="n">
        <v>34</v>
      </c>
      <c r="G22" s="4" t="n">
        <v>155264324.09</v>
      </c>
    </row>
    <row r="23">
      <c r="A23" s="4" t="inlineStr">
        <is>
          <t>acct_03</t>
        </is>
      </c>
      <c r="B23" s="4" t="n">
        <v>38</v>
      </c>
      <c r="C23" s="4" t="n">
        <v>0</v>
      </c>
      <c r="D23" s="4" t="n">
        <v>1</v>
      </c>
      <c r="E23" s="4" t="n">
        <v>1</v>
      </c>
      <c r="F23" s="4" t="n">
        <v>36</v>
      </c>
      <c r="G23" s="4" t="n">
        <v>181479578.8</v>
      </c>
    </row>
    <row r="24">
      <c r="A24" s="4" t="inlineStr">
        <is>
          <t>acct_04</t>
        </is>
      </c>
      <c r="B24" s="4" t="n">
        <v>34</v>
      </c>
      <c r="C24" s="4" t="n">
        <v>1</v>
      </c>
      <c r="D24" s="4" t="n">
        <v>1</v>
      </c>
      <c r="E24" s="4" t="n">
        <v>0</v>
      </c>
      <c r="F24" s="4" t="n">
        <v>32</v>
      </c>
      <c r="G24" s="4" t="n">
        <v>168645003.1</v>
      </c>
    </row>
    <row r="25">
      <c r="A25" s="4" t="inlineStr">
        <is>
          <t>acct_05</t>
        </is>
      </c>
      <c r="B25" s="4" t="n">
        <v>28</v>
      </c>
      <c r="C25" s="4" t="n">
        <v>1</v>
      </c>
      <c r="D25" s="4" t="n">
        <v>1</v>
      </c>
      <c r="E25" s="4" t="n">
        <v>0</v>
      </c>
      <c r="F25" s="4" t="n">
        <v>26</v>
      </c>
      <c r="G25" s="4" t="n">
        <v>114732052.51</v>
      </c>
    </row>
    <row r="26">
      <c r="A26" s="4" t="inlineStr">
        <is>
          <t>acct_06</t>
        </is>
      </c>
      <c r="B26" s="4" t="n">
        <v>23</v>
      </c>
      <c r="C26" s="4" t="n">
        <v>0</v>
      </c>
      <c r="D26" s="4" t="n">
        <v>0</v>
      </c>
      <c r="E26" s="4" t="n">
        <v>1</v>
      </c>
      <c r="F26" s="4" t="n">
        <v>22</v>
      </c>
      <c r="G26" s="4" t="n">
        <v>100409672.3</v>
      </c>
    </row>
    <row r="27">
      <c r="A27" s="4" t="inlineStr">
        <is>
          <t>acct_07</t>
        </is>
      </c>
      <c r="B27" s="4" t="n">
        <v>25</v>
      </c>
      <c r="C27" s="4" t="n">
        <v>1</v>
      </c>
      <c r="D27" s="4" t="n">
        <v>0</v>
      </c>
      <c r="E27" s="4" t="n">
        <v>0</v>
      </c>
      <c r="F27" s="4" t="n">
        <v>24</v>
      </c>
      <c r="G27" s="4" t="n">
        <v>67492347.09999999</v>
      </c>
    </row>
    <row r="28">
      <c r="A28" s="4" t="inlineStr">
        <is>
          <t>acct_08</t>
        </is>
      </c>
      <c r="B28" s="4" t="n">
        <v>4</v>
      </c>
      <c r="C28" s="4" t="n">
        <v>0</v>
      </c>
      <c r="D28" s="4" t="n">
        <v>0</v>
      </c>
      <c r="E28" s="4" t="n">
        <v>0</v>
      </c>
      <c r="F28" s="4" t="n">
        <v>4</v>
      </c>
      <c r="G28" s="4" t="n">
        <v>53760000</v>
      </c>
    </row>
    <row r="29">
      <c r="A29" s="4" t="inlineStr">
        <is>
          <t>acct_09</t>
        </is>
      </c>
      <c r="B29" s="4" t="n">
        <v>31</v>
      </c>
      <c r="C29" s="4" t="n">
        <v>1</v>
      </c>
      <c r="D29" s="4" t="n">
        <v>0</v>
      </c>
      <c r="E29" s="4" t="n">
        <v>0</v>
      </c>
      <c r="F29" s="4" t="n">
        <v>30</v>
      </c>
      <c r="G29" s="4" t="n">
        <v>135029631.2</v>
      </c>
    </row>
    <row r="30">
      <c r="A30" s="4" t="inlineStr">
        <is>
          <t>acct_10</t>
        </is>
      </c>
      <c r="B30" s="4" t="n">
        <v>34</v>
      </c>
      <c r="C30" s="4" t="n">
        <v>1</v>
      </c>
      <c r="D30" s="4" t="n">
        <v>0</v>
      </c>
      <c r="E30" s="4" t="n">
        <v>1</v>
      </c>
      <c r="F30" s="4" t="n">
        <v>32</v>
      </c>
      <c r="G30" s="4" t="n">
        <v>109302093.24</v>
      </c>
    </row>
    <row r="31">
      <c r="A31" s="5" t="inlineStr">
        <is>
          <t>合计</t>
        </is>
      </c>
      <c r="B31" s="5" t="n">
        <v>295</v>
      </c>
      <c r="C31" s="5" t="n">
        <v>6</v>
      </c>
      <c r="D31" s="5" t="n">
        <v>5</v>
      </c>
      <c r="E31" s="5" t="n">
        <v>4</v>
      </c>
      <c r="F31" s="5" t="n">
        <v>280</v>
      </c>
      <c r="G31" s="5" t="n">
        <v>1295353746.36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20" customWidth="1" min="4" max="4"/>
    <col width="18" customWidth="1" min="5" max="5"/>
    <col width="12" customWidth="1" min="6" max="6"/>
  </cols>
  <sheetData>
    <row r="1">
      <c r="A1" s="1" t="inlineStr">
        <is>
          <t>二、券种与账户市值汇总（有效口径）</t>
        </is>
      </c>
    </row>
    <row r="3">
      <c r="A3" s="2" t="inlineStr">
        <is>
          <t>（1）按券种汇总</t>
        </is>
      </c>
    </row>
    <row r="4">
      <c r="A4" s="3" t="inlineStr">
        <is>
          <t>券种(sec_type)</t>
        </is>
      </c>
      <c r="B4" s="3" t="inlineStr">
        <is>
          <t>有效市值(元)</t>
        </is>
      </c>
      <c r="C4" s="3" t="inlineStr">
        <is>
          <t>占资产净值%</t>
        </is>
      </c>
    </row>
    <row r="5">
      <c r="A5" s="4" t="inlineStr">
        <is>
          <t>CreditBond</t>
        </is>
      </c>
      <c r="B5" s="4" t="n">
        <v>507956942.5</v>
      </c>
      <c r="C5" s="4" t="n">
        <v>37.84</v>
      </c>
    </row>
    <row r="6">
      <c r="A6" s="4" t="inlineStr">
        <is>
          <t>PolicyBankBond</t>
        </is>
      </c>
      <c r="B6" s="4" t="n">
        <v>306901663.1</v>
      </c>
      <c r="C6" s="4" t="n">
        <v>22.86</v>
      </c>
    </row>
    <row r="7">
      <c r="A7" s="4" t="inlineStr">
        <is>
          <t>InterbankCD</t>
        </is>
      </c>
      <c r="B7" s="4" t="n">
        <v>134059767.06</v>
      </c>
      <c r="C7" s="4" t="n">
        <v>9.99</v>
      </c>
    </row>
    <row r="8">
      <c r="A8" s="4" t="inlineStr">
        <is>
          <t>GovtBond</t>
        </is>
      </c>
      <c r="B8" s="4" t="n">
        <v>122895903</v>
      </c>
      <c r="C8" s="4" t="n">
        <v>9.15</v>
      </c>
    </row>
    <row r="9">
      <c r="A9" s="4" t="inlineStr">
        <is>
          <t>EquityFund</t>
        </is>
      </c>
      <c r="B9" s="4" t="n">
        <v>102478344</v>
      </c>
      <c r="C9" s="4" t="n">
        <v>7.63</v>
      </c>
    </row>
    <row r="10">
      <c r="A10" s="4" t="inlineStr">
        <is>
          <t>ConvertBond</t>
        </is>
      </c>
      <c r="B10" s="4" t="n">
        <v>60641126.7</v>
      </c>
      <c r="C10" s="4" t="n">
        <v>4.52</v>
      </c>
    </row>
    <row r="11">
      <c r="A11" s="4" t="inlineStr">
        <is>
          <t>NonStdAsset</t>
        </is>
      </c>
      <c r="B11" s="4" t="n">
        <v>60420000</v>
      </c>
      <c r="C11" s="4" t="n">
        <v>4.5</v>
      </c>
    </row>
    <row r="12">
      <c r="A12" s="5" t="inlineStr">
        <is>
          <t>合计</t>
        </is>
      </c>
      <c r="B12" s="4" t="n">
        <v>1295353746.36</v>
      </c>
      <c r="C12" s="4" t="n">
        <v>96.48999999999999</v>
      </c>
    </row>
    <row r="15">
      <c r="A15" s="2" t="inlineStr">
        <is>
          <t>（2）按账户汇总</t>
        </is>
      </c>
    </row>
    <row r="16">
      <c r="A16" s="3" t="inlineStr">
        <is>
          <t>账户</t>
        </is>
      </c>
      <c r="B16" s="3" t="inlineStr">
        <is>
          <t>有效行数</t>
        </is>
      </c>
      <c r="C16" s="3" t="inlineStr">
        <is>
          <t>有效市值(元)</t>
        </is>
      </c>
      <c r="D16" s="3" t="inlineStr">
        <is>
          <t>占资产净值%</t>
        </is>
      </c>
    </row>
    <row r="17">
      <c r="A17" s="4" t="inlineStr">
        <is>
          <t>acct_01</t>
        </is>
      </c>
      <c r="B17" s="4" t="n">
        <v>40</v>
      </c>
      <c r="C17" s="4" t="n">
        <v>209239044.02</v>
      </c>
      <c r="D17" s="4" t="n">
        <v>15.59</v>
      </c>
    </row>
    <row r="18">
      <c r="A18" s="4" t="inlineStr">
        <is>
          <t>acct_02</t>
        </is>
      </c>
      <c r="B18" s="4" t="n">
        <v>34</v>
      </c>
      <c r="C18" s="4" t="n">
        <v>155264324.09</v>
      </c>
      <c r="D18" s="4" t="n">
        <v>11.57</v>
      </c>
    </row>
    <row r="19">
      <c r="A19" s="4" t="inlineStr">
        <is>
          <t>acct_03</t>
        </is>
      </c>
      <c r="B19" s="4" t="n">
        <v>36</v>
      </c>
      <c r="C19" s="4" t="n">
        <v>181479578.8</v>
      </c>
      <c r="D19" s="4" t="n">
        <v>13.52</v>
      </c>
    </row>
    <row r="20">
      <c r="A20" s="4" t="inlineStr">
        <is>
          <t>acct_04</t>
        </is>
      </c>
      <c r="B20" s="4" t="n">
        <v>32</v>
      </c>
      <c r="C20" s="4" t="n">
        <v>168645003.1</v>
      </c>
      <c r="D20" s="4" t="n">
        <v>12.56</v>
      </c>
    </row>
    <row r="21">
      <c r="A21" s="4" t="inlineStr">
        <is>
          <t>acct_05</t>
        </is>
      </c>
      <c r="B21" s="4" t="n">
        <v>26</v>
      </c>
      <c r="C21" s="4" t="n">
        <v>114732052.51</v>
      </c>
      <c r="D21" s="4" t="n">
        <v>8.550000000000001</v>
      </c>
    </row>
    <row r="22">
      <c r="A22" s="4" t="inlineStr">
        <is>
          <t>acct_06</t>
        </is>
      </c>
      <c r="B22" s="4" t="n">
        <v>22</v>
      </c>
      <c r="C22" s="4" t="n">
        <v>100409672.3</v>
      </c>
      <c r="D22" s="4" t="n">
        <v>7.48</v>
      </c>
    </row>
    <row r="23">
      <c r="A23" s="4" t="inlineStr">
        <is>
          <t>acct_07</t>
        </is>
      </c>
      <c r="B23" s="4" t="n">
        <v>24</v>
      </c>
      <c r="C23" s="4" t="n">
        <v>67492347.09999999</v>
      </c>
      <c r="D23" s="4" t="n">
        <v>5.03</v>
      </c>
    </row>
    <row r="24">
      <c r="A24" s="4" t="inlineStr">
        <is>
          <t>acct_08</t>
        </is>
      </c>
      <c r="B24" s="4" t="n">
        <v>4</v>
      </c>
      <c r="C24" s="4" t="n">
        <v>53760000</v>
      </c>
      <c r="D24" s="4" t="n">
        <v>4</v>
      </c>
    </row>
    <row r="25">
      <c r="A25" s="4" t="inlineStr">
        <is>
          <t>acct_09</t>
        </is>
      </c>
      <c r="B25" s="4" t="n">
        <v>30</v>
      </c>
      <c r="C25" s="4" t="n">
        <v>135029631.2</v>
      </c>
      <c r="D25" s="4" t="n">
        <v>10.06</v>
      </c>
    </row>
    <row r="26">
      <c r="A26" s="4" t="inlineStr">
        <is>
          <t>acct_10</t>
        </is>
      </c>
      <c r="B26" s="4" t="n">
        <v>32</v>
      </c>
      <c r="C26" s="4" t="n">
        <v>109302093.24</v>
      </c>
      <c r="D26" s="4" t="n">
        <v>8.140000000000001</v>
      </c>
    </row>
    <row r="27">
      <c r="A27" s="5" t="inlineStr">
        <is>
          <t>合计</t>
        </is>
      </c>
      <c r="B27" s="4" t="n">
        <v>280</v>
      </c>
      <c r="C27" s="4" t="n">
        <v>1295353746.36</v>
      </c>
      <c r="D27" s="4" t="n">
        <v>96.48999999999999</v>
      </c>
    </row>
    <row r="30">
      <c r="A30" s="2" t="inlineStr">
        <is>
          <t>（3）前五大重仓证券</t>
        </is>
      </c>
    </row>
    <row r="31">
      <c r="A31" s="3" t="inlineStr">
        <is>
          <t>证券代码</t>
        </is>
      </c>
      <c r="B31" s="3" t="inlineStr">
        <is>
          <t>名称</t>
        </is>
      </c>
      <c r="C31" s="3" t="inlineStr">
        <is>
          <t>券种</t>
        </is>
      </c>
      <c r="D31" s="3" t="inlineStr">
        <is>
          <t>发行人</t>
        </is>
      </c>
      <c r="E31" s="3" t="inlineStr">
        <is>
          <t>有效市值(元)</t>
        </is>
      </c>
      <c r="F31" s="3" t="inlineStr">
        <is>
          <t>占净值%</t>
        </is>
      </c>
    </row>
    <row r="32">
      <c r="A32" s="4" t="inlineStr">
        <is>
          <t>102600003.IB</t>
        </is>
      </c>
      <c r="B32" s="4" t="inlineStr">
        <is>
          <t>华骏集团2026年第3期中期票据</t>
        </is>
      </c>
      <c r="C32" s="4" t="inlineStr">
        <is>
          <t>CreditBond</t>
        </is>
      </c>
      <c r="D32" s="4" t="inlineStr">
        <is>
          <t>华骏集团</t>
        </is>
      </c>
      <c r="E32" s="4" t="n">
        <v>161214619.6</v>
      </c>
      <c r="F32" s="4" t="n">
        <v>12.01</v>
      </c>
    </row>
    <row r="33">
      <c r="A33" s="4" t="inlineStr">
        <is>
          <t>260013.IB</t>
        </is>
      </c>
      <c r="B33" s="4" t="inlineStr">
        <is>
          <t>国家开发银行2026年第13期政策性金融债</t>
        </is>
      </c>
      <c r="C33" s="4" t="inlineStr">
        <is>
          <t>PolicyBankBond</t>
        </is>
      </c>
      <c r="D33" s="4" t="inlineStr">
        <is>
          <t>国家开发银行</t>
        </is>
      </c>
      <c r="E33" s="4" t="n">
        <v>26460787.1</v>
      </c>
      <c r="F33" s="4" t="n">
        <v>1.97</v>
      </c>
    </row>
    <row r="34">
      <c r="A34" s="4" t="inlineStr">
        <is>
          <t>ZQ260002</t>
        </is>
      </c>
      <c r="B34" s="4" t="inlineStr">
        <is>
          <t>鼎信供应链2026年第2期资产支持专项计划</t>
        </is>
      </c>
      <c r="C34" s="4" t="inlineStr">
        <is>
          <t>NonStdAsset</t>
        </is>
      </c>
      <c r="D34" s="4" t="inlineStr">
        <is>
          <t>鼎信供应链</t>
        </is>
      </c>
      <c r="E34" s="4" t="n">
        <v>24620000</v>
      </c>
      <c r="F34" s="4" t="n">
        <v>1.83</v>
      </c>
    </row>
    <row r="35">
      <c r="A35" s="4" t="inlineStr">
        <is>
          <t>102600030.IB</t>
        </is>
      </c>
      <c r="B35" s="4" t="inlineStr">
        <is>
          <t>宏图置业2026年第30期中期票据</t>
        </is>
      </c>
      <c r="C35" s="4" t="inlineStr">
        <is>
          <t>CreditBond</t>
        </is>
      </c>
      <c r="D35" s="4" t="inlineStr">
        <is>
          <t>宏图置业</t>
        </is>
      </c>
      <c r="E35" s="4" t="n">
        <v>23299548.9</v>
      </c>
      <c r="F35" s="4" t="n">
        <v>1.74</v>
      </c>
    </row>
    <row r="36">
      <c r="A36" s="4" t="inlineStr">
        <is>
          <t>102600004.IB</t>
        </is>
      </c>
      <c r="B36" s="4" t="inlineStr">
        <is>
          <t>瑞泽控股2026年第4期中期票据</t>
        </is>
      </c>
      <c r="C36" s="4" t="inlineStr">
        <is>
          <t>CreditBond</t>
        </is>
      </c>
      <c r="D36" s="4" t="inlineStr">
        <is>
          <t>瑞泽控股</t>
        </is>
      </c>
      <c r="E36" s="4" t="n">
        <v>22718300.9</v>
      </c>
      <c r="F36" s="4" t="n">
        <v>1.69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8" customWidth="1" min="4" max="4"/>
  </cols>
  <sheetData>
    <row r="1">
      <c r="A1" s="1" t="inlineStr">
        <is>
          <t>三、净值复核推导链（每行带列报值）</t>
        </is>
      </c>
    </row>
    <row r="3">
      <c r="A3" s="3" t="inlineStr">
        <is>
          <t>步骤</t>
        </is>
      </c>
      <c r="B3" s="3" t="inlineStr">
        <is>
          <t>算式</t>
        </is>
      </c>
      <c r="C3" s="3" t="inlineStr">
        <is>
          <t>数值(元)</t>
        </is>
      </c>
      <c r="D3" s="3" t="inlineStr">
        <is>
          <t>来源</t>
        </is>
      </c>
    </row>
    <row r="4">
      <c r="A4" s="4" t="inlineStr">
        <is>
          <t>持仓有效市值</t>
        </is>
      </c>
      <c r="B4" s="4" t="inlineStr">
        <is>
          <t>Σ(有效持仓市值)</t>
        </is>
      </c>
      <c r="C4" s="4" t="n">
        <v>1295353746.36</v>
      </c>
      <c r="D4" s="4" t="inlineStr">
        <is>
          <t>持仓×行情(重推件,估值日)</t>
        </is>
      </c>
    </row>
    <row r="5">
      <c r="A5" s="4" t="inlineStr">
        <is>
          <t>+ 现金及清算备付金</t>
        </is>
      </c>
      <c r="B5" s="4" t="inlineStr">
        <is>
          <t>托管行报告</t>
        </is>
      </c>
      <c r="C5" s="4" t="n">
        <v>45645475.03</v>
      </c>
      <c r="D5" s="4" t="inlineStr">
        <is>
          <t>nav_report</t>
        </is>
      </c>
    </row>
    <row r="6">
      <c r="A6" s="4" t="inlineStr">
        <is>
          <t>+ 应收</t>
        </is>
      </c>
      <c r="B6" s="4" t="inlineStr">
        <is>
          <t>应收利息+应收红利</t>
        </is>
      </c>
      <c r="C6" s="4" t="n">
        <v>4278200</v>
      </c>
      <c r="D6" s="4" t="inlineStr">
        <is>
          <t>accruals</t>
        </is>
      </c>
    </row>
    <row r="7">
      <c r="A7" s="4" t="inlineStr">
        <is>
          <t>− 应付</t>
        </is>
      </c>
      <c r="B7" s="4" t="inlineStr">
        <is>
          <t>管理人报酬+托管费+销售服务费</t>
        </is>
      </c>
      <c r="C7" s="4" t="n">
        <v>2763450</v>
      </c>
      <c r="D7" s="4" t="inlineStr">
        <is>
          <t>accruals</t>
        </is>
      </c>
    </row>
    <row r="8">
      <c r="A8" s="4">
        <f> 资产净值</f>
        <v/>
      </c>
      <c r="B8" s="4" t="inlineStr">
        <is>
          <t>市值+现金+应收−应付</t>
        </is>
      </c>
      <c r="C8" s="4" t="n">
        <v>1342513971.39</v>
      </c>
      <c r="D8" s="4" t="inlineStr">
        <is>
          <t>计算</t>
        </is>
      </c>
    </row>
    <row r="9">
      <c r="A9" s="4" t="inlineStr">
        <is>
          <t>托管行资产净值</t>
        </is>
      </c>
      <c r="B9" s="4" t="inlineStr">
        <is>
          <t>托管行报告</t>
        </is>
      </c>
      <c r="C9" s="4" t="n">
        <v>1342513971.39</v>
      </c>
      <c r="D9" s="4" t="inlineStr">
        <is>
          <t>nav_report</t>
        </is>
      </c>
    </row>
    <row r="10">
      <c r="A10" s="4" t="inlineStr">
        <is>
          <t>资产净值差额</t>
        </is>
      </c>
      <c r="B10" s="4" t="inlineStr">
        <is>
          <t>计算−托管</t>
        </is>
      </c>
      <c r="C10" s="4" t="n">
        <v>0</v>
      </c>
      <c r="D10" s="4" t="inlineStr">
        <is>
          <t>计算</t>
        </is>
      </c>
    </row>
    <row r="11">
      <c r="A11" s="4" t="inlineStr">
        <is>
          <t>÷ 总份额</t>
        </is>
      </c>
      <c r="B11" s="4" t="inlineStr">
        <is>
          <t>1250000000 份</t>
        </is>
      </c>
      <c r="C11" s="4" t="n">
        <v>1250000000</v>
      </c>
      <c r="D11" s="4" t="inlineStr">
        <is>
          <t>nav_report</t>
        </is>
      </c>
    </row>
    <row r="12">
      <c r="A12" s="4">
        <f> 单位净值(复核)</f>
        <v/>
      </c>
      <c r="B12" s="4" t="inlineStr">
        <is>
          <t>资产净值÷总份额</t>
        </is>
      </c>
      <c r="C12" s="4" t="n">
        <v>1.074011</v>
      </c>
      <c r="D12" s="4" t="inlineStr">
        <is>
          <t>计算</t>
        </is>
      </c>
    </row>
    <row r="13">
      <c r="A13" s="4" t="inlineStr">
        <is>
          <t>托管行单位净值</t>
        </is>
      </c>
      <c r="B13" s="4" t="inlineStr">
        <is>
          <t>托管行报告</t>
        </is>
      </c>
      <c r="C13" s="4" t="n">
        <v>1.074</v>
      </c>
      <c r="D13" s="4" t="inlineStr">
        <is>
          <t>nav_report</t>
        </is>
      </c>
    </row>
    <row r="14">
      <c r="A14" s="4" t="inlineStr">
        <is>
          <t>单位净值差额(个基点)</t>
        </is>
      </c>
      <c r="B14" s="4" t="inlineStr">
        <is>
          <t>(复核−托管)×10000</t>
        </is>
      </c>
      <c r="C14" s="4" t="n">
        <v>0.1118</v>
      </c>
      <c r="D14" s="4" t="inlineStr">
        <is>
          <t>计算</t>
        </is>
      </c>
    </row>
    <row r="16">
      <c r="A16" s="2" t="inlineStr">
        <is>
          <t>全口径(未过滤)对照：</t>
        </is>
      </c>
    </row>
    <row r="17">
      <c r="A17" s="4" t="inlineStr">
        <is>
          <t>全表合计市值(可定价)</t>
        </is>
      </c>
      <c r="B17" s="4" t="inlineStr">
        <is>
          <t>Σ(全部上报行市值)</t>
        </is>
      </c>
      <c r="C17" s="4" t="n">
        <v>1357825148.26</v>
      </c>
      <c r="D17" s="4" t="inlineStr">
        <is>
          <t>未过滤口径</t>
        </is>
      </c>
    </row>
    <row r="18">
      <c r="A18" s="4" t="inlineStr">
        <is>
          <t>全口径单位净值</t>
        </is>
      </c>
      <c r="B18" s="4" t="inlineStr">
        <is>
          <t>(全表市值+现金+应收−应付)÷份额</t>
        </is>
      </c>
      <c r="C18" s="4" t="n">
        <v>1.123988</v>
      </c>
      <c r="D18" s="4" t="inlineStr">
        <is>
          <t>计算</t>
        </is>
      </c>
    </row>
    <row r="19">
      <c r="A19" s="4" t="inlineStr">
        <is>
          <t>高估幅度(个基点)</t>
        </is>
      </c>
      <c r="B19" s="4" t="inlineStr">
        <is>
          <t>(全口径−正确口径)×10000</t>
        </is>
      </c>
      <c r="C19" s="4" t="n">
        <v>499.7712</v>
      </c>
      <c r="D19" s="4" t="inlineStr">
        <is>
          <t>计算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</cols>
  <sheetData>
    <row r="1">
      <c r="A1" s="1" t="inlineStr">
        <is>
          <t>四、现金勾稽与口径调整</t>
        </is>
      </c>
    </row>
    <row r="3">
      <c r="A3" s="2" t="inlineStr">
        <is>
          <t>（1）银行对账单各账户期末余额（分列）</t>
        </is>
      </c>
    </row>
    <row r="4">
      <c r="A4" s="3" t="inlineStr">
        <is>
          <t>账户</t>
        </is>
      </c>
      <c r="B4" s="3" t="inlineStr">
        <is>
          <t>账户名称</t>
        </is>
      </c>
      <c r="C4" s="3" t="inlineStr">
        <is>
          <t>期末余额(元)</t>
        </is>
      </c>
    </row>
    <row r="5">
      <c r="A5" s="4" t="inlineStr">
        <is>
          <t>6220****1188</t>
        </is>
      </c>
      <c r="B5" s="4" t="inlineStr">
        <is>
          <t>托管存款专户</t>
        </is>
      </c>
      <c r="C5" s="4" t="n">
        <v>32864742.02</v>
      </c>
    </row>
    <row r="6">
      <c r="A6" s="4" t="inlineStr">
        <is>
          <t>6220****2299</t>
        </is>
      </c>
      <c r="B6" s="4" t="inlineStr">
        <is>
          <t>清算备付金账户</t>
        </is>
      </c>
      <c r="C6" s="4" t="n">
        <v>12780733.01</v>
      </c>
    </row>
    <row r="7">
      <c r="A7" s="5" t="inlineStr">
        <is>
          <t>合计</t>
        </is>
      </c>
      <c r="B7" s="4" t="inlineStr"/>
      <c r="C7" s="4" t="n">
        <v>45645475.03</v>
      </c>
    </row>
    <row r="8">
      <c r="A8" s="4" t="inlineStr">
        <is>
          <t>托管报告现金及清算备付金</t>
        </is>
      </c>
      <c r="B8" s="4" t="inlineStr"/>
      <c r="C8" s="4" t="n">
        <v>45645475.03</v>
      </c>
    </row>
    <row r="9">
      <c r="A9" s="4" t="inlineStr">
        <is>
          <t>勾稽差额</t>
        </is>
      </c>
      <c r="B9" s="4" t="inlineStr">
        <is>
          <t>对账单合计−托管现金</t>
        </is>
      </c>
      <c r="C9" s="4" t="n">
        <v>0</v>
      </c>
    </row>
    <row r="12">
      <c r="A12" s="2" t="inlineStr">
        <is>
          <t>（2）行情取数过滤留痕</t>
        </is>
      </c>
    </row>
    <row r="13">
      <c r="A13" s="3" t="inlineStr">
        <is>
          <t>项目</t>
        </is>
      </c>
      <c r="B13" s="3" t="inlineStr">
        <is>
          <t>记录数</t>
        </is>
      </c>
      <c r="C13" s="3" t="inlineStr">
        <is>
          <t>说明</t>
        </is>
      </c>
    </row>
    <row r="14">
      <c r="A14" s="4" t="inlineStr">
        <is>
          <t>行情重推件原始记录</t>
        </is>
      </c>
      <c r="B14" s="4" t="n">
        <v>131</v>
      </c>
      <c r="C14" s="4" t="inlineStr">
        <is>
          <t>data/price_feed_20260930_repush.csv</t>
        </is>
      </c>
    </row>
    <row r="15">
      <c r="A15" s="4" t="inlineStr">
        <is>
          <t>过滤后(trade_date=估值日)</t>
        </is>
      </c>
      <c r="B15" s="4" t="n">
        <v>126</v>
      </c>
      <c r="C15" s="4" t="inlineStr">
        <is>
          <t>关联字段 sec_code↔instrument_id</t>
        </is>
      </c>
    </row>
    <row r="16">
      <c r="A16" s="4" t="inlineStr">
        <is>
          <t>剔除(前一交易日2026-09-29)</t>
        </is>
      </c>
      <c r="B16" s="4" t="n">
        <v>5</v>
      </c>
      <c r="C16" s="4" t="inlineStr">
        <is>
          <t>原始推送比对件，取估值日当日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10" customWidth="1" min="5" max="5"/>
    <col width="8" customWidth="1" min="6" max="6"/>
    <col width="10" customWidth="1" min="7" max="7"/>
    <col width="40" customWidth="1" min="8" max="8"/>
  </cols>
  <sheetData>
    <row r="1">
      <c r="A1" s="1" t="inlineStr">
        <is>
          <t>五、投资监督·五项限额逐条（现行v3）</t>
        </is>
      </c>
    </row>
    <row r="3">
      <c r="A3" s="3" t="inlineStr">
        <is>
          <t>指标ID</t>
        </is>
      </c>
      <c r="B3" s="3" t="inlineStr">
        <is>
          <t>指标名称</t>
        </is>
      </c>
      <c r="C3" s="3" t="inlineStr">
        <is>
          <t>条款号</t>
        </is>
      </c>
      <c r="D3" s="3" t="inlineStr">
        <is>
          <t>测算值%</t>
        </is>
      </c>
      <c r="E3" s="3" t="inlineStr">
        <is>
          <t>限额%</t>
        </is>
      </c>
      <c r="F3" s="3" t="inlineStr">
        <is>
          <t>方向</t>
        </is>
      </c>
      <c r="G3" s="3" t="inlineStr">
        <is>
          <t>结论</t>
        </is>
      </c>
      <c r="H3" s="3" t="inlineStr">
        <is>
          <t>关键对象</t>
        </is>
      </c>
    </row>
    <row r="4">
      <c r="A4" s="6" t="inlineStr">
        <is>
          <t>R-01</t>
        </is>
      </c>
      <c r="B4" s="6" t="inlineStr">
        <is>
          <t>单一证券集中度</t>
        </is>
      </c>
      <c r="C4" s="6" t="inlineStr">
        <is>
          <t>第4条</t>
        </is>
      </c>
      <c r="D4" s="6" t="n">
        <v>12.01</v>
      </c>
      <c r="E4" s="6" t="n">
        <v>10</v>
      </c>
      <c r="F4" s="6" t="inlineStr">
        <is>
          <t>≤</t>
        </is>
      </c>
      <c r="G4" s="6" t="inlineStr">
        <is>
          <t>超限</t>
        </is>
      </c>
      <c r="H4" s="6" t="inlineStr">
        <is>
          <t>102600003.IB 华骏集团2026年第3期中期票据</t>
        </is>
      </c>
    </row>
    <row r="5">
      <c r="A5" s="4" t="inlineStr">
        <is>
          <t>R-02</t>
        </is>
      </c>
      <c r="B5" s="4" t="inlineStr">
        <is>
          <t>单一发行人集中度</t>
        </is>
      </c>
      <c r="C5" s="4" t="inlineStr">
        <is>
          <t>第5条</t>
        </is>
      </c>
      <c r="D5" s="4" t="n">
        <v>12.01</v>
      </c>
      <c r="E5" s="4" t="n">
        <v>15</v>
      </c>
      <c r="F5" s="4" t="inlineStr">
        <is>
          <t>≤</t>
        </is>
      </c>
      <c r="G5" s="4" t="inlineStr">
        <is>
          <t>合规</t>
        </is>
      </c>
      <c r="H5" s="4" t="inlineStr">
        <is>
          <t>华骏集团</t>
        </is>
      </c>
    </row>
    <row r="6">
      <c r="A6" s="4" t="inlineStr">
        <is>
          <t>R-03</t>
        </is>
      </c>
      <c r="B6" s="4" t="inlineStr">
        <is>
          <t>非标资产比例</t>
        </is>
      </c>
      <c r="C6" s="4" t="inlineStr">
        <is>
          <t>第6条</t>
        </is>
      </c>
      <c r="D6" s="4" t="n">
        <v>4.5</v>
      </c>
      <c r="E6" s="4" t="n">
        <v>5</v>
      </c>
      <c r="F6" s="4" t="inlineStr">
        <is>
          <t>≤</t>
        </is>
      </c>
      <c r="G6" s="4" t="inlineStr">
        <is>
          <t>合规</t>
        </is>
      </c>
      <c r="H6" s="4" t="inlineStr">
        <is>
          <t>NonStdAsset合计</t>
        </is>
      </c>
    </row>
    <row r="7">
      <c r="A7" s="4" t="inlineStr">
        <is>
          <t>R-05</t>
        </is>
      </c>
      <c r="B7" s="4" t="inlineStr">
        <is>
          <t>现金类资产比例</t>
        </is>
      </c>
      <c r="C7" s="4" t="inlineStr">
        <is>
          <t>第7条</t>
        </is>
      </c>
      <c r="D7" s="4" t="n">
        <v>3.4</v>
      </c>
      <c r="E7" s="4" t="n">
        <v>3</v>
      </c>
      <c r="F7" s="4" t="inlineStr">
        <is>
          <t>≥</t>
        </is>
      </c>
      <c r="G7" s="4" t="inlineStr">
        <is>
          <t>合规</t>
        </is>
      </c>
      <c r="H7" s="4" t="inlineStr">
        <is>
          <t>现金及清算备付金</t>
        </is>
      </c>
    </row>
    <row r="8">
      <c r="A8" s="4" t="inlineStr">
        <is>
          <t>R-07</t>
        </is>
      </c>
      <c r="B8" s="4" t="inlineStr">
        <is>
          <t>权益型基金比例</t>
        </is>
      </c>
      <c r="C8" s="4" t="inlineStr">
        <is>
          <t>第8条</t>
        </is>
      </c>
      <c r="D8" s="4" t="n">
        <v>7.63</v>
      </c>
      <c r="E8" s="4" t="n">
        <v>20</v>
      </c>
      <c r="F8" s="4" t="inlineStr">
        <is>
          <t>≤</t>
        </is>
      </c>
      <c r="G8" s="4" t="inlineStr">
        <is>
          <t>合规</t>
        </is>
      </c>
      <c r="H8" s="4" t="inlineStr">
        <is>
          <t>EquityFund合计</t>
        </is>
      </c>
    </row>
    <row r="10">
      <c r="A10" s="7" t="inlineStr">
        <is>
          <t>现金类比例交叉核对：v3第7条(R-05)≥3% 与 liquidity_policy第12条≥3% 口径一致；第21条指明现金类界定与限制条款第七章一致。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24" customWidth="1" min="4" max="4"/>
    <col width="32" customWidth="1" min="5" max="5"/>
    <col width="24" customWidth="1" min="6" max="6"/>
    <col width="12" customWidth="1" min="7" max="7"/>
  </cols>
  <sheetData>
    <row r="1">
      <c r="A1" s="1" t="inlineStr">
        <is>
          <t>六、数据问题与阻塞台账（七要素）</t>
        </is>
      </c>
    </row>
    <row r="3">
      <c r="A3" s="3" t="inlineStr">
        <is>
          <t>类别</t>
        </is>
      </c>
      <c r="B3" s="3" t="inlineStr">
        <is>
          <t>文件</t>
        </is>
      </c>
      <c r="C3" s="3" t="inlineStr">
        <is>
          <t>现象</t>
        </is>
      </c>
      <c r="D3" s="3" t="inlineStr">
        <is>
          <t>影响</t>
        </is>
      </c>
      <c r="E3" s="3" t="inlineStr">
        <is>
          <t>处置动作</t>
        </is>
      </c>
      <c r="F3" s="3" t="inlineStr">
        <is>
          <t>依据</t>
        </is>
      </c>
      <c r="G3" s="3" t="inlineStr">
        <is>
          <t>状态</t>
        </is>
      </c>
    </row>
    <row r="4">
      <c r="A4" s="4" t="inlineStr">
        <is>
          <t>口径冲突</t>
        </is>
      </c>
      <c r="B4" s="4" t="inlineStr">
        <is>
          <t>rules/recon_runbook.md / internal/data_dictionary.md</t>
        </is>
      </c>
      <c r="C4" s="4" t="inlineStr">
        <is>
          <t>指引3.1要求以wind_code关联，数据字典载明wind_code已废止、改为sec_code/instrument_id</t>
        </is>
      </c>
      <c r="D4" s="4" t="inlineStr">
        <is>
          <t>若按旧字段关联将全部失配、无法定价</t>
        </is>
      </c>
      <c r="E4" s="4" t="inlineStr">
        <is>
          <t>按数据字典现行口径以sec_code↔instrument_id关联，记差异留痕</t>
        </is>
      </c>
      <c r="F4" s="4" t="inlineStr">
        <is>
          <t>data_dictionary 第3节 命名沿革</t>
        </is>
      </c>
      <c r="G4" s="4" t="inlineStr">
        <is>
          <t>已处置</t>
        </is>
      </c>
    </row>
    <row r="5">
      <c r="A5" s="4" t="inlineStr">
        <is>
          <t>行情源冲突</t>
        </is>
      </c>
      <c r="B5" s="4" t="inlineStr">
        <is>
          <t>valuation/price_feed_20260930.csv / data/price_feed_20260930_repush.csv</t>
        </is>
      </c>
      <c r="C5" s="4" t="inlineStr">
        <is>
          <t>valuation主件为空(传输残留)，data重推件含完整估值日行情</t>
        </is>
      </c>
      <c r="D5" s="4" t="inlineStr">
        <is>
          <t>若用主件则无行情、全部无法定价</t>
        </is>
      </c>
      <c r="E5" s="4" t="inlineStr">
        <is>
          <t>以数据组重推件为准，主件作废</t>
        </is>
      </c>
      <c r="F5" s="4" t="inlineStr">
        <is>
          <t>internal/ops_email_20261008.txt</t>
        </is>
      </c>
      <c r="G5" s="4" t="inlineStr">
        <is>
          <t>已处置</t>
        </is>
      </c>
    </row>
    <row r="6">
      <c r="A6" s="4" t="inlineStr">
        <is>
          <t>行情多交易日</t>
        </is>
      </c>
      <c r="B6" s="4" t="inlineStr">
        <is>
          <t>data/price_feed_20260930_repush.csv</t>
        </is>
      </c>
      <c r="C6" s="4" t="inlineStr">
        <is>
          <t>重推件含5条2026-09-29前一交易日记录(原始推送)</t>
        </is>
      </c>
      <c r="D6" s="4" t="inlineStr">
        <is>
          <t>混用将导致估值价错误</t>
        </is>
      </c>
      <c r="E6" s="4" t="inlineStr">
        <is>
          <t>过滤trade_date=2026-09-30，剔除5条</t>
        </is>
      </c>
      <c r="F6" s="4" t="inlineStr">
        <is>
          <t>recon_runbook 3.3 / ops_email</t>
        </is>
      </c>
      <c r="G6" s="4" t="inlineStr">
        <is>
          <t>已处置</t>
        </is>
      </c>
    </row>
    <row r="7">
      <c r="A7" s="4" t="inlineStr">
        <is>
          <t>非估值日残留</t>
        </is>
      </c>
      <c r="B7" s="4" t="inlineStr">
        <is>
          <t>portfolio/holdings_2026Q3.xlsx</t>
        </is>
      </c>
      <c r="C7" s="4" t="inlineStr">
        <is>
          <t>6个账户sheet各含1行as_of=2026-06-30的旧数据(共6行)</t>
        </is>
      </c>
      <c r="D7" s="4" t="inlineStr">
        <is>
          <t>虚增持仓市值、高估净值</t>
        </is>
      </c>
      <c r="E7" s="4" t="inlineStr">
        <is>
          <t>按2.1剔除非估值日记录共6行</t>
        </is>
      </c>
      <c r="F7" s="4" t="inlineStr">
        <is>
          <t>recon_runbook 2.1</t>
        </is>
      </c>
      <c r="G7" s="4" t="inlineStr">
        <is>
          <t>已处置</t>
        </is>
      </c>
    </row>
    <row r="8">
      <c r="A8" s="4" t="inlineStr">
        <is>
          <t>主数据失效</t>
        </is>
      </c>
      <c r="B8" s="4" t="inlineStr">
        <is>
          <t>portfolio/holdings_2026Q3.xlsx / security_master.csv</t>
        </is>
      </c>
      <c r="C8" s="4" t="inlineStr">
        <is>
          <t>持仓含status为called/matured的到期赎回券(260001/102600001等)</t>
        </is>
      </c>
      <c r="D8" s="4" t="inlineStr">
        <is>
          <t>计入将虚增市值且违背有效口径</t>
        </is>
      </c>
      <c r="E8" s="4" t="inlineStr">
        <is>
          <t>按2.2剔除status非active记录共5行</t>
        </is>
      </c>
      <c r="F8" s="4" t="inlineStr">
        <is>
          <t>recon_runbook 2.2 / manager_notes 第2条</t>
        </is>
      </c>
      <c r="G8" s="4" t="inlineStr">
        <is>
          <t>已处置</t>
        </is>
      </c>
    </row>
    <row r="9">
      <c r="A9" s="4" t="inlineStr">
        <is>
          <t>重复上报</t>
        </is>
      </c>
      <c r="B9" s="4" t="inlineStr">
        <is>
          <t>portfolio/holdings_2026Q3.xlsx</t>
        </is>
      </c>
      <c r="C9" s="4" t="inlineStr">
        <is>
          <t>4组acct+sec_code+vol重复行(不同source_row_id)</t>
        </is>
      </c>
      <c r="D9" s="4" t="inlineStr">
        <is>
          <t>重复计算市值</t>
        </is>
      </c>
      <c r="E9" s="4" t="inlineStr">
        <is>
          <t>按2.3按source_row_id升序保留首条，剔除4行</t>
        </is>
      </c>
      <c r="F9" s="4" t="inlineStr">
        <is>
          <t>recon_runbook 2.3 / readme注意事项</t>
        </is>
      </c>
      <c r="G9" s="4" t="inlineStr">
        <is>
          <t>已处置</t>
        </is>
      </c>
    </row>
    <row r="10">
      <c r="A10" s="4" t="inlineStr">
        <is>
          <t>限额超限</t>
        </is>
      </c>
      <c r="B10" s="4" t="inlineStr">
        <is>
          <t>rules/restrictions_v3_20260901.md</t>
        </is>
      </c>
      <c r="C10" s="4" t="inlineStr">
        <is>
          <t>单一证券102600003.IB(华骏集团中票)占净值12.01%&gt;10%硬限</t>
        </is>
      </c>
      <c r="D10" s="4" t="inlineStr">
        <is>
          <t>触发R-01超限，须披露并整改</t>
        </is>
      </c>
      <c r="E10" s="4" t="inlineStr">
        <is>
          <t>报告监督章节披露成因/整改/时限；投资经理T+2提交整改计划</t>
        </is>
      </c>
      <c r="F10" s="4" t="inlineStr">
        <is>
          <t>restrictions_v3 第4/9条 / approval_memo</t>
        </is>
      </c>
      <c r="G10" s="4" t="inlineStr">
        <is>
          <t>已登记待整改</t>
        </is>
      </c>
    </row>
    <row r="11">
      <c r="A11" s="4" t="inlineStr">
        <is>
          <t>版本适用</t>
        </is>
      </c>
      <c r="B11" s="4" t="inlineStr">
        <is>
          <t>rules/restrictions_v2 / v3 / compliance/limit_monitor_2026Q2.csv</t>
        </is>
      </c>
      <c r="C11" s="4" t="inlineStr">
        <is>
          <t>Q2监测与上期报告按v2(旧限额)执行，v3自2026-09-01生效</t>
        </is>
      </c>
      <c r="D11" s="4" t="inlineStr">
        <is>
          <t>沿用旧限额将漏判R-01超限</t>
        </is>
      </c>
      <c r="E11" s="4" t="inlineStr">
        <is>
          <t>三季度起一律按v3，重述上期口径</t>
        </is>
      </c>
      <c r="F11" s="4" t="inlineStr">
        <is>
          <t>restrictions_v3 附则第12条</t>
        </is>
      </c>
      <c r="G11" s="4" t="inlineStr">
        <is>
          <t>已处置</t>
        </is>
      </c>
    </row>
    <row r="13">
      <c r="A13" s="7" t="inlineStr">
        <is>
          <t>最终采用数据源：持仓=管理人交易系统盘后导出(有效口径)；净值/份额/现金=托管行报告；行情=数据组重推件(估值日当日)。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44" customWidth="1" min="4" max="4"/>
  </cols>
  <sheetData>
    <row r="1">
      <c r="A1" s="1" t="inlineStr">
        <is>
          <t>七、任务拆解与完成状态</t>
        </is>
      </c>
    </row>
    <row r="3">
      <c r="A3" s="3" t="inlineStr">
        <is>
          <t>任务编号</t>
        </is>
      </c>
      <c r="B3" s="3" t="inlineStr">
        <is>
          <t>任务项</t>
        </is>
      </c>
      <c r="C3" s="3" t="inlineStr">
        <is>
          <t>状态</t>
        </is>
      </c>
      <c r="D3" s="3" t="inlineStr">
        <is>
          <t>对应交付物位置</t>
        </is>
      </c>
    </row>
    <row r="4">
      <c r="A4" s="4" t="inlineStr">
        <is>
          <t>T1</t>
        </is>
      </c>
      <c r="B4" s="4" t="inlineStr">
        <is>
          <t>材料清点与目录勾稽</t>
        </is>
      </c>
      <c r="C4" s="4" t="inlineStr">
        <is>
          <t>完成</t>
        </is>
      </c>
      <c r="D4" s="4" t="inlineStr">
        <is>
          <t>workbook:Coverage / 报告一</t>
        </is>
      </c>
    </row>
    <row r="5">
      <c r="A5" s="4" t="inlineStr">
        <is>
          <t>T2</t>
        </is>
      </c>
      <c r="B5" s="4" t="inlineStr">
        <is>
          <t>十账户sheet全覆盖汇总</t>
        </is>
      </c>
      <c r="C5" s="4" t="inlineStr">
        <is>
          <t>完成</t>
        </is>
      </c>
      <c r="D5" s="4" t="inlineStr">
        <is>
          <t>workbook:Coverage/Holdings_Summary / coverage.csv</t>
        </is>
      </c>
    </row>
    <row r="6">
      <c r="A6" s="4" t="inlineStr">
        <is>
          <t>T3</t>
        </is>
      </c>
      <c r="B6" s="4" t="inlineStr">
        <is>
          <t>有效持仓三类剔除口径</t>
        </is>
      </c>
      <c r="C6" s="4" t="inlineStr">
        <is>
          <t>完成</t>
        </is>
      </c>
      <c r="D6" s="4" t="inlineStr">
        <is>
          <t>coverage.csv / Holdings_Summary / 报告三</t>
        </is>
      </c>
    </row>
    <row r="7">
      <c r="A7" s="4" t="inlineStr">
        <is>
          <t>T4</t>
        </is>
      </c>
      <c r="B7" s="4" t="inlineStr">
        <is>
          <t>行情估值日取数与关联</t>
        </is>
      </c>
      <c r="C7" s="4" t="inlineStr">
        <is>
          <t>完成</t>
        </is>
      </c>
      <c r="D7" s="4" t="inlineStr">
        <is>
          <t>workbook:Nav_Bridge / 报告三</t>
        </is>
      </c>
    </row>
    <row r="8">
      <c r="A8" s="4" t="inlineStr">
        <is>
          <t>T5</t>
        </is>
      </c>
      <c r="B8" s="4" t="inlineStr">
        <is>
          <t>市值与单位净值复核推导链</t>
        </is>
      </c>
      <c r="C8" s="4" t="inlineStr">
        <is>
          <t>完成</t>
        </is>
      </c>
      <c r="D8" s="4" t="inlineStr">
        <is>
          <t>workbook:Valuation_Recalc / 报告二</t>
        </is>
      </c>
    </row>
    <row r="9">
      <c r="A9" s="4" t="inlineStr">
        <is>
          <t>T6</t>
        </is>
      </c>
      <c r="B9" s="4" t="inlineStr">
        <is>
          <t>现金分账户勾稽</t>
        </is>
      </c>
      <c r="C9" s="4" t="inlineStr">
        <is>
          <t>完成</t>
        </is>
      </c>
      <c r="D9" s="4" t="inlineStr">
        <is>
          <t>workbook:Nav_Bridge / 报告二</t>
        </is>
      </c>
    </row>
    <row r="10">
      <c r="A10" s="4" t="inlineStr">
        <is>
          <t>T7</t>
        </is>
      </c>
      <c r="B10" s="4" t="inlineStr">
        <is>
          <t>五项限额逐条测算</t>
        </is>
      </c>
      <c r="C10" s="4" t="inlineStr">
        <is>
          <t>完成</t>
        </is>
      </c>
      <c r="D10" s="4" t="inlineStr">
        <is>
          <t>workbook:Compliance_Check / 报告四</t>
        </is>
      </c>
    </row>
    <row r="11">
      <c r="A11" s="4" t="inlineStr">
        <is>
          <t>T8</t>
        </is>
      </c>
      <c r="B11" s="4" t="inlineStr">
        <is>
          <t>条款版本适用性说明</t>
        </is>
      </c>
      <c r="C11" s="4" t="inlineStr">
        <is>
          <t>完成</t>
        </is>
      </c>
      <c r="D11" s="4" t="inlineStr">
        <is>
          <t>报告四 / Issue_Log</t>
        </is>
      </c>
    </row>
    <row r="12">
      <c r="A12" s="4" t="inlineStr">
        <is>
          <t>T9</t>
        </is>
      </c>
      <c r="B12" s="4" t="inlineStr">
        <is>
          <t>超限处置与披露</t>
        </is>
      </c>
      <c r="C12" s="4" t="inlineStr">
        <is>
          <t>完成</t>
        </is>
      </c>
      <c r="D12" s="4" t="inlineStr">
        <is>
          <t>报告四监督章节 / Compliance_Check</t>
        </is>
      </c>
    </row>
    <row r="13">
      <c r="A13" s="4" t="inlineStr">
        <is>
          <t>T10</t>
        </is>
      </c>
      <c r="B13" s="4" t="inlineStr">
        <is>
          <t>上期报告重述</t>
        </is>
      </c>
      <c r="C13" s="4" t="inlineStr">
        <is>
          <t>完成</t>
        </is>
      </c>
      <c r="D13" s="4" t="inlineStr">
        <is>
          <t>workbook:Prev_Report_Fix / 报告五</t>
        </is>
      </c>
    </row>
    <row r="14">
      <c r="A14" s="4" t="inlineStr">
        <is>
          <t>T11</t>
        </is>
      </c>
      <c r="B14" s="4" t="inlineStr">
        <is>
          <t>数据问题台账</t>
        </is>
      </c>
      <c r="C14" s="4" t="inlineStr">
        <is>
          <t>完成</t>
        </is>
      </c>
      <c r="D14" s="4" t="inlineStr">
        <is>
          <t>issue_log.csv / workbook:Issue_Log / 报告六</t>
        </is>
      </c>
    </row>
    <row r="15">
      <c r="A15" s="4" t="inlineStr">
        <is>
          <t>T12</t>
        </is>
      </c>
      <c r="B15" s="4" t="inlineStr">
        <is>
          <t>任务拆解与完成状态</t>
        </is>
      </c>
      <c r="C15" s="4" t="inlineStr">
        <is>
          <t>完成</t>
        </is>
      </c>
      <c r="D15" s="4" t="inlineStr">
        <is>
          <t>workbook:Task_Status / 报告七</t>
        </is>
      </c>
    </row>
    <row r="16">
      <c r="A16" s="4" t="inlineStr">
        <is>
          <t>T13</t>
        </is>
      </c>
      <c r="B16" s="4" t="inlineStr">
        <is>
          <t>复合图(限额+账户覆盖)</t>
        </is>
      </c>
      <c r="C16" s="4" t="inlineStr">
        <is>
          <t>完成</t>
        </is>
      </c>
      <c r="D16" s="4" t="inlineStr">
        <is>
          <t>charts.png</t>
        </is>
      </c>
    </row>
    <row r="17">
      <c r="A17" s="4" t="inlineStr">
        <is>
          <t>T14</t>
        </is>
      </c>
      <c r="B17" s="4" t="inlineStr">
        <is>
          <t>可复算脚本</t>
        </is>
      </c>
      <c r="C17" s="4" t="inlineStr">
        <is>
          <t>完成</t>
        </is>
      </c>
      <c r="D17" s="4" t="inlineStr">
        <is>
          <t>FIN3-WKN-153_reproduce.py</t>
        </is>
      </c>
    </row>
    <row r="18">
      <c r="A18" s="4" t="inlineStr">
        <is>
          <t>T15</t>
        </is>
      </c>
      <c r="B18" s="4" t="inlineStr">
        <is>
          <t>报告成文(八章节,≤2页)</t>
        </is>
      </c>
      <c r="C18" s="4" t="inlineStr">
        <is>
          <t>完成</t>
        </is>
      </c>
      <c r="D18" s="4" t="inlineStr">
        <is>
          <t>FIN3-WKN-153_operation_report.md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  <col width="32" customWidth="1" min="4" max="4"/>
  </cols>
  <sheetData>
    <row r="1">
      <c r="A1" s="1" t="inlineStr">
        <is>
          <t>八、上期报告重述</t>
        </is>
      </c>
    </row>
    <row r="3">
      <c r="A3" s="3" t="inlineStr">
        <is>
          <t>原表述</t>
        </is>
      </c>
      <c r="B3" s="3" t="inlineStr">
        <is>
          <t>不再适用的原因</t>
        </is>
      </c>
      <c r="C3" s="3" t="inlineStr">
        <is>
          <t>本期处置</t>
        </is>
      </c>
      <c r="D3" s="3" t="inlineStr">
        <is>
          <t>出处</t>
        </is>
      </c>
    </row>
    <row r="4">
      <c r="A4" s="4" t="inlineStr">
        <is>
          <t>上期报告持仓汇总采用盘后导出明细『全表合计』，未区分数据所属日期</t>
        </is>
      </c>
      <c r="B4" s="4" t="inlineStr">
        <is>
          <t>全表合计混入非估值日/失效/重复上报记录，高估市值与净值；manager_notes第4条已声明该表述本期不再适用</t>
        </is>
      </c>
      <c r="C4" s="4" t="inlineStr">
        <is>
          <t>本期按recon_runbook第2章有效持仓口径(估值日+active+去重)汇总，全口径对照单位净值高估约499.77个基点</t>
        </is>
      </c>
      <c r="D4" s="4" t="inlineStr">
        <is>
          <t>reports/2026Q2_operation_report.md 二 / manager_notes 第4条</t>
        </is>
      </c>
    </row>
    <row r="5">
      <c r="A5" s="4" t="inlineStr">
        <is>
          <t>上期按2026-06-01版(v2)条款执行期末监测：单一证券≤12%、非标≤8%、现金≥2%、权益≤25%</t>
        </is>
      </c>
      <c r="B5" s="4" t="inlineStr">
        <is>
          <t>v3自2026-09-01生效并替代v2，三季度起期末监测一律执行v3(单一证券≤10%、非标≤5%、现金≥3%、权益≤20%)</t>
        </is>
      </c>
      <c r="C5" s="4" t="inlineStr">
        <is>
          <t>本期按v3逐条重算：R-01=12.01%已超10%硬限，须披露整改；其余四项合规</t>
        </is>
      </c>
      <c r="D5" s="4" t="inlineStr">
        <is>
          <t>reports/2026Q2_operation_report.md 二 / restrictions_v3 第4-8/12条</t>
        </is>
      </c>
    </row>
    <row r="6">
      <c r="A6" s="4" t="inlineStr">
        <is>
          <t>上期称『各项指标均在限额之内，未发生超限事项』</t>
        </is>
      </c>
      <c r="B6" s="4" t="inlineStr">
        <is>
          <t>该结论基于v2旧限额；按现行v3限额单一证券集中度已超限，结论不再成立</t>
        </is>
      </c>
      <c r="C6" s="4" t="inlineStr">
        <is>
          <t>本期在监督章节如实披露R-01超限事实、成因、整改措施与T+2时限</t>
        </is>
      </c>
      <c r="D6" s="4" t="inlineStr">
        <is>
          <t>reports/2026Q2_operation_report.md 二 / restrictions_v3 第9条</t>
        </is>
      </c>
    </row>
    <row r="7">
      <c r="A7" s="4" t="inlineStr">
        <is>
          <t>一季度报告称按2026-06-01版条款(当时为草案)执行内部监测</t>
        </is>
      </c>
      <c r="B7" s="4" t="inlineStr">
        <is>
          <t>该版本已被v3替代，仅作历史回溯，不适用于本期期末监测</t>
        </is>
      </c>
      <c r="C7" s="4" t="inlineStr">
        <is>
          <t>本期明确以v3现行有效条款为唯一期末监测口径</t>
        </is>
      </c>
      <c r="D7" s="4" t="inlineStr">
        <is>
          <t>reports/2026Q1_operation_report.md 二 / restrictions_v3 附则第12条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2026-10-12T15:28:57Z</dcterms:created>
  <dcterms:modified xmlns:dcterms="http://purl.org/dc/terms/" xmlns:xsi="http://www.w3.org/2001/XMLSchema-instance" xsi:type="dcterms:W3CDTF">2026-10-12T15:28:57Z</dcterms:modified>
</cp:coreProperties>
</file>