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</sheets>
  <definedNames>
    <definedName name="_xlnm._FilterDatabase" localSheetId="0" hidden="1">'Inputs'!$A$1:$F$21</definedName>
    <definedName name="_xlnm._FilterDatabase" localSheetId="1" hidden="1">'QoE'!$A$1:$E$11</definedName>
    <definedName name="_xlnm._FilterDatabase" localSheetId="2" hidden="1">'Valuation'!$A$1:$K$4</definedName>
    <definedName name="_xlnm._FilterDatabase" localSheetId="3" hidden="1">'Sensitivity'!$A$1:$G$6</definedName>
    <definedName name="_xlnm._FilterDatabase" localSheetId="4" hidden="1">'Offering_Proceeds'!$A$1:$E$10</definedName>
    <definedName name="_xlnm._FilterDatabase" localSheetId="5" hidden="1">'Dilution'!$A$1:$E$10</definedName>
    <definedName name="_xlnm._FilterDatabase" localSheetId="6" hidden="1">'Pricing_Summary'!$A$1:$D$10</definedName>
    <definedName name="_xlnm._FilterDatabase" localSheetId="7" hidden="1">'Error_Audit'!$A$1:$G$21</definedName>
    <definedName name="_xlnm._FilterDatabase" localSheetId="8" hidden="1">'Source_Trace'!$A$1:$G$18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F1F2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bottom style="thin">
        <color rgb="00D1D9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6" customWidth="1" min="4" max="4"/>
    <col width="30" customWidth="1" min="5" max="5"/>
    <col width="17" customWidth="1" min="6" max="6"/>
  </cols>
  <sheetData>
    <row r="1" ht="28" customHeight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Classification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2023A Revenue</t>
        </is>
      </c>
      <c r="B2" s="3" t="n">
        <v>804.029</v>
      </c>
      <c r="C2" s="2" t="inlineStr">
        <is>
          <t>USD mm</t>
        </is>
      </c>
      <c r="D2" s="2" t="inlineStr">
        <is>
          <t>SEC 公开事实</t>
        </is>
      </c>
      <c r="E2" s="2" t="inlineStr">
        <is>
          <t>SEC-01</t>
        </is>
      </c>
      <c r="F2" s="2" t="inlineStr">
        <is>
          <t>历史审计数</t>
        </is>
      </c>
    </row>
    <row r="3">
      <c r="A3" s="2" t="inlineStr">
        <is>
          <t>2023 Net loss</t>
        </is>
      </c>
      <c r="B3" s="3" t="n">
        <v>-90.824</v>
      </c>
      <c r="C3" s="2" t="inlineStr">
        <is>
          <t>USD mm</t>
        </is>
      </c>
      <c r="D3" s="2" t="inlineStr">
        <is>
          <t>SEC 公开事实</t>
        </is>
      </c>
      <c r="E3" s="2" t="inlineStr">
        <is>
          <t>SEC-01</t>
        </is>
      </c>
      <c r="F3" s="2" t="inlineStr"/>
    </row>
    <row r="4">
      <c r="A4" s="2" t="inlineStr">
        <is>
          <t>Management Adjusted EBITDA</t>
        </is>
      </c>
      <c r="B4" s="3" t="n">
        <v>-69.27500000000001</v>
      </c>
      <c r="C4" s="2" t="inlineStr">
        <is>
          <t>USD mm</t>
        </is>
      </c>
      <c r="D4" s="2" t="inlineStr">
        <is>
          <t>SEC 披露非GAAP</t>
        </is>
      </c>
      <c r="E4" s="2" t="inlineStr">
        <is>
          <t>SEC-01</t>
        </is>
      </c>
      <c r="F4" s="2" t="inlineStr">
        <is>
          <t>非审计意见覆盖</t>
        </is>
      </c>
    </row>
    <row r="5">
      <c r="A5" s="2" t="inlineStr">
        <is>
          <t>SBC and related taxes</t>
        </is>
      </c>
      <c r="B5" s="3" t="n">
        <v>49.086</v>
      </c>
      <c r="C5" s="2" t="inlineStr">
        <is>
          <t>USD mm</t>
        </is>
      </c>
      <c r="D5" s="2" t="inlineStr">
        <is>
          <t>SEC 公开事实</t>
        </is>
      </c>
      <c r="E5" s="2" t="inlineStr">
        <is>
          <t>SEC-01</t>
        </is>
      </c>
      <c r="F5" s="2" t="inlineStr"/>
    </row>
    <row r="6">
      <c r="A6" s="2" t="inlineStr">
        <is>
          <t>Restructuring</t>
        </is>
      </c>
      <c r="B6" s="3" t="n">
        <v>8.098000000000001</v>
      </c>
      <c r="C6" s="2" t="inlineStr">
        <is>
          <t>USD mm</t>
        </is>
      </c>
      <c r="D6" s="2" t="inlineStr">
        <is>
          <t>SEC 公开事实</t>
        </is>
      </c>
      <c r="E6" s="2" t="inlineStr">
        <is>
          <t>SEC-01</t>
        </is>
      </c>
      <c r="F6" s="2" t="inlineStr">
        <is>
          <t>已在管理层 EBITDA 调整</t>
        </is>
      </c>
    </row>
    <row r="7">
      <c r="A7" s="2" t="inlineStr">
        <is>
          <t>Free Cash Flow</t>
        </is>
      </c>
      <c r="B7" s="3" t="n">
        <v>-84.83799999999999</v>
      </c>
      <c r="C7" s="2" t="inlineStr">
        <is>
          <t>USD mm</t>
        </is>
      </c>
      <c r="D7" s="2" t="inlineStr">
        <is>
          <t>SEC 公开事实</t>
        </is>
      </c>
      <c r="E7" s="2" t="inlineStr">
        <is>
          <t>SEC-01</t>
        </is>
      </c>
      <c r="F7" s="2" t="inlineStr"/>
    </row>
    <row r="8">
      <c r="A8" s="2" t="inlineStr">
        <is>
          <t>Cash</t>
        </is>
      </c>
      <c r="B8" s="3" t="n">
        <v>401.176</v>
      </c>
      <c r="C8" s="2" t="inlineStr">
        <is>
          <t>USD mm</t>
        </is>
      </c>
      <c r="D8" s="2" t="inlineStr">
        <is>
          <t>SEC 公开事实</t>
        </is>
      </c>
      <c r="E8" s="2" t="inlineStr">
        <is>
          <t>SEC-01</t>
        </is>
      </c>
      <c r="F8" s="2" t="inlineStr"/>
    </row>
    <row r="9">
      <c r="A9" s="2" t="inlineStr">
        <is>
          <t>Marketable securities</t>
        </is>
      </c>
      <c r="B9" s="3" t="n">
        <v>811.946</v>
      </c>
      <c r="C9" s="2" t="inlineStr">
        <is>
          <t>USD mm</t>
        </is>
      </c>
      <c r="D9" s="2" t="inlineStr">
        <is>
          <t>SEC 公开事实</t>
        </is>
      </c>
      <c r="E9" s="2" t="inlineStr">
        <is>
          <t>SEC-01</t>
        </is>
      </c>
      <c r="F9" s="2" t="inlineStr"/>
    </row>
    <row r="10">
      <c r="A10" s="2" t="inlineStr">
        <is>
          <t>2024E growth</t>
        </is>
      </c>
      <c r="B10" s="3" t="n">
        <v>0.22</v>
      </c>
      <c r="C10" s="2" t="inlineStr">
        <is>
          <t>%</t>
        </is>
      </c>
      <c r="D10" s="2" t="inlineStr">
        <is>
          <t>内部委员会假设</t>
        </is>
      </c>
      <c r="E10" s="2" t="inlineStr">
        <is>
          <t>CP-06</t>
        </is>
      </c>
      <c r="F10" s="2" t="inlineStr">
        <is>
          <t>非公开预测</t>
        </is>
      </c>
    </row>
    <row r="11">
      <c r="A11" s="2" t="inlineStr">
        <is>
          <t>Peer low</t>
        </is>
      </c>
      <c r="B11" s="3" t="n">
        <v>4</v>
      </c>
      <c r="C11" s="2" t="inlineStr">
        <is>
          <t>x</t>
        </is>
      </c>
      <c r="D11" s="2" t="inlineStr">
        <is>
          <t>内部委员会假设</t>
        </is>
      </c>
      <c r="E11" s="2" t="inlineStr">
        <is>
          <t>CP-07</t>
        </is>
      </c>
      <c r="F11" s="2" t="inlineStr"/>
    </row>
    <row r="12">
      <c r="A12" s="2" t="inlineStr">
        <is>
          <t>Peer midpoint</t>
        </is>
      </c>
      <c r="B12" s="3" t="n">
        <v>4.5</v>
      </c>
      <c r="C12" s="2" t="inlineStr">
        <is>
          <t>x</t>
        </is>
      </c>
      <c r="D12" s="2" t="inlineStr">
        <is>
          <t>内部委员会假设</t>
        </is>
      </c>
      <c r="E12" s="2" t="inlineStr">
        <is>
          <t>CP-07</t>
        </is>
      </c>
      <c r="F12" s="2" t="inlineStr"/>
    </row>
    <row r="13">
      <c r="A13" s="2" t="inlineStr">
        <is>
          <t>Peer high</t>
        </is>
      </c>
      <c r="B13" s="3" t="n">
        <v>5</v>
      </c>
      <c r="C13" s="2" t="inlineStr">
        <is>
          <t>x</t>
        </is>
      </c>
      <c r="D13" s="2" t="inlineStr">
        <is>
          <t>内部委员会假设</t>
        </is>
      </c>
      <c r="E13" s="2" t="inlineStr">
        <is>
          <t>CP-07</t>
        </is>
      </c>
      <c r="F13" s="2" t="inlineStr"/>
    </row>
    <row r="14">
      <c r="A14" s="2" t="inlineStr">
        <is>
          <t>Execution discount</t>
        </is>
      </c>
      <c r="B14" s="3" t="n">
        <v>0.125</v>
      </c>
      <c r="C14" s="2" t="inlineStr">
        <is>
          <t>%</t>
        </is>
      </c>
      <c r="D14" s="2" t="inlineStr">
        <is>
          <t>内部委员会假设</t>
        </is>
      </c>
      <c r="E14" s="2" t="inlineStr">
        <is>
          <t>CP-09</t>
        </is>
      </c>
      <c r="F14" s="2" t="inlineStr"/>
    </row>
    <row r="15">
      <c r="A15" s="2" t="inlineStr">
        <is>
          <t>Pre-money economic shares</t>
        </is>
      </c>
      <c r="B15" s="3" t="n">
        <v>143.716563</v>
      </c>
      <c r="C15" s="2" t="inlineStr">
        <is>
          <t>mm shares</t>
        </is>
      </c>
      <c r="D15" s="2" t="inlineStr">
        <is>
          <t>SEC 事实推导/委员会快照</t>
        </is>
      </c>
      <c r="E15" s="2" t="inlineStr">
        <is>
          <t>SEC-09 类别合计</t>
        </is>
      </c>
      <c r="F15" s="2" t="inlineStr"/>
    </row>
    <row r="16">
      <c r="A16" s="2" t="inlineStr">
        <is>
          <t>Proposed price</t>
        </is>
      </c>
      <c r="B16" s="3" t="n">
        <v>34</v>
      </c>
      <c r="C16" s="2" t="inlineStr">
        <is>
          <t>USD/share</t>
        </is>
      </c>
      <c r="D16" s="2" t="inlineStr">
        <is>
          <t>内部委员会假设</t>
        </is>
      </c>
      <c r="E16" s="2" t="inlineStr">
        <is>
          <t>Offering_Terms_20240320.xlsx</t>
        </is>
      </c>
      <c r="F16" s="2" t="inlineStr">
        <is>
          <t>决策输入，非已实现结果</t>
        </is>
      </c>
    </row>
    <row r="17">
      <c r="A17" s="2" t="inlineStr">
        <is>
          <t>Primary base</t>
        </is>
      </c>
      <c r="B17" s="3" t="n">
        <v>15.276527</v>
      </c>
      <c r="C17" s="2" t="inlineStr">
        <is>
          <t>mm shares</t>
        </is>
      </c>
      <c r="D17" s="2" t="inlineStr">
        <is>
          <t>SEC 公开事实</t>
        </is>
      </c>
      <c r="E17" s="2" t="inlineStr">
        <is>
          <t>SEC-03</t>
        </is>
      </c>
      <c r="F17" s="2" t="inlineStr"/>
    </row>
    <row r="18">
      <c r="A18" s="2" t="inlineStr">
        <is>
          <t>Secondary base</t>
        </is>
      </c>
      <c r="B18" s="3" t="n">
        <v>6.723473</v>
      </c>
      <c r="C18" s="2" t="inlineStr">
        <is>
          <t>mm shares</t>
        </is>
      </c>
      <c r="D18" s="2" t="inlineStr">
        <is>
          <t>SEC 公开事实</t>
        </is>
      </c>
      <c r="E18" s="2" t="inlineStr">
        <is>
          <t>SEC-03</t>
        </is>
      </c>
      <c r="F18" s="2" t="inlineStr">
        <is>
          <t>公司募集资金和新增股数均为零</t>
        </is>
      </c>
    </row>
    <row r="19">
      <c r="A19" s="2" t="inlineStr">
        <is>
          <t>Greenshoe</t>
        </is>
      </c>
      <c r="B19" s="3" t="n">
        <v>3.3</v>
      </c>
      <c r="C19" s="2" t="inlineStr">
        <is>
          <t>mm shares</t>
        </is>
      </c>
      <c r="D19" s="2" t="inlineStr">
        <is>
          <t>SEC 公开事实</t>
        </is>
      </c>
      <c r="E19" s="2" t="inlineStr">
        <is>
          <t>SEC-03</t>
        </is>
      </c>
      <c r="F19" s="2" t="inlineStr">
        <is>
          <t>Base 排除</t>
        </is>
      </c>
    </row>
    <row r="20">
      <c r="A20" s="2" t="inlineStr">
        <is>
          <t>Underwriting fee rate</t>
        </is>
      </c>
      <c r="B20" s="3" t="n">
        <v>0.05</v>
      </c>
      <c r="C20" s="2" t="inlineStr">
        <is>
          <t>% primary gross</t>
        </is>
      </c>
      <c r="D20" s="2" t="inlineStr">
        <is>
          <t>内部委员会假设</t>
        </is>
      </c>
      <c r="E20" s="2" t="inlineStr">
        <is>
          <t>CP-12</t>
        </is>
      </c>
      <c r="F20" s="2" t="inlineStr"/>
    </row>
    <row r="21">
      <c r="A21" s="2" t="inlineStr">
        <is>
          <t>Fixed company expenses</t>
        </is>
      </c>
      <c r="B21" s="3" t="n">
        <v>7</v>
      </c>
      <c r="C21" s="2" t="inlineStr">
        <is>
          <t>USD mm</t>
        </is>
      </c>
      <c r="D21" s="2" t="inlineStr">
        <is>
          <t>内部委员会假设</t>
        </is>
      </c>
      <c r="E21" s="2" t="inlineStr">
        <is>
          <t>CP-12</t>
        </is>
      </c>
      <c r="F21" s="2" t="inlineStr">
        <is>
          <t>仅一次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38" customWidth="1" min="4" max="4"/>
    <col width="17" customWidth="1" min="5" max="5"/>
  </cols>
  <sheetData>
    <row r="1" ht="28" customHeight="1">
      <c r="A1" s="1" t="inlineStr">
        <is>
          <t>Item</t>
        </is>
      </c>
      <c r="B1" s="1" t="inlineStr">
        <is>
          <t>2022A</t>
        </is>
      </c>
      <c r="C1" s="1" t="inlineStr">
        <is>
          <t>2023A / Result</t>
        </is>
      </c>
      <c r="D1" s="1" t="inlineStr">
        <is>
          <t>Formula / Treatment</t>
        </is>
      </c>
      <c r="E1" s="1" t="inlineStr">
        <is>
          <t>Source / Policy</t>
        </is>
      </c>
    </row>
    <row r="2">
      <c r="A2" s="2" t="inlineStr">
        <is>
          <t>Revenue</t>
        </is>
      </c>
      <c r="B2" s="3" t="n">
        <v>666.701</v>
      </c>
      <c r="C2" s="3" t="n">
        <v>804.029</v>
      </c>
      <c r="D2" s="2" t="inlineStr">
        <is>
          <t>SEC annual amounts</t>
        </is>
      </c>
      <c r="E2" s="2" t="inlineStr">
        <is>
          <t>SEC-01</t>
        </is>
      </c>
    </row>
    <row r="3">
      <c r="A3" s="2" t="inlineStr">
        <is>
          <t>Net income (loss)</t>
        </is>
      </c>
      <c r="B3" s="2" t="n"/>
      <c r="C3" s="3" t="n">
        <v>-90.824</v>
      </c>
      <c r="D3" s="2" t="inlineStr">
        <is>
          <t>SEC annual amount</t>
        </is>
      </c>
      <c r="E3" s="2" t="inlineStr">
        <is>
          <t>SEC-01</t>
        </is>
      </c>
    </row>
    <row r="4">
      <c r="A4" s="2" t="inlineStr">
        <is>
          <t>Management Adjusted EBITDA</t>
        </is>
      </c>
      <c r="B4" s="2" t="n"/>
      <c r="C4" s="3" t="n">
        <v>-69.27500000000001</v>
      </c>
      <c r="D4" s="2" t="inlineStr">
        <is>
          <t>Management non-GAAP starting point</t>
        </is>
      </c>
      <c r="E4" s="2" t="inlineStr">
        <is>
          <t>SEC-01 / CP-03</t>
        </is>
      </c>
    </row>
    <row r="5">
      <c r="A5" s="2" t="inlineStr">
        <is>
          <t>Reverse SBC addback</t>
        </is>
      </c>
      <c r="B5" s="2" t="n"/>
      <c r="C5" s="3" t="n">
        <v>-49.086</v>
      </c>
      <c r="D5" s="2">
        <f>-SBC; recurring economic cost</f>
        <v/>
      </c>
      <c r="E5" s="2" t="inlineStr">
        <is>
          <t>CP-03</t>
        </is>
      </c>
    </row>
    <row r="6">
      <c r="A6" s="2" t="inlineStr">
        <is>
          <t>Restructuring incremental adjustment</t>
        </is>
      </c>
      <c r="B6" s="2" t="n"/>
      <c r="C6" s="3" t="n">
        <v>0</v>
      </c>
      <c r="D6" s="2" t="inlineStr">
        <is>
          <t>8.098 already adjusted</t>
        </is>
      </c>
      <c r="E6" s="2" t="inlineStr">
        <is>
          <t>CP-04</t>
        </is>
      </c>
    </row>
    <row r="7">
      <c r="A7" s="2" t="inlineStr">
        <is>
          <t>Underwriting EBITDA</t>
        </is>
      </c>
      <c r="B7" s="2" t="n"/>
      <c r="C7" s="3" t="n">
        <v>-118.361</v>
      </c>
      <c r="D7" s="2">
        <f>Management Adj EBITDA - SBC</f>
        <v/>
      </c>
      <c r="E7" s="2" t="inlineStr">
        <is>
          <t>CP-03</t>
        </is>
      </c>
    </row>
    <row r="8">
      <c r="A8" s="2" t="inlineStr">
        <is>
          <t>Underwriting EBITDA margin</t>
        </is>
      </c>
      <c r="B8" s="2" t="n"/>
      <c r="C8" s="3" t="n">
        <v>-0.1472098643208143</v>
      </c>
      <c r="D8" s="2">
        <f>Underwriting EBITDA / Revenue</f>
        <v/>
      </c>
      <c r="E8" s="2" t="inlineStr">
        <is>
          <t>Calculated</t>
        </is>
      </c>
    </row>
    <row r="9">
      <c r="A9" s="2" t="inlineStr">
        <is>
          <t>Free Cash Flow</t>
        </is>
      </c>
      <c r="B9" s="2" t="n"/>
      <c r="C9" s="3" t="n">
        <v>-84.83799999999999</v>
      </c>
      <c r="D9" s="2" t="inlineStr">
        <is>
          <t>OCF less capex</t>
        </is>
      </c>
      <c r="E9" s="2" t="inlineStr">
        <is>
          <t>SEC-01</t>
        </is>
      </c>
    </row>
    <row r="10">
      <c r="A10" s="2" t="inlineStr">
        <is>
          <t>FCF margin</t>
        </is>
      </c>
      <c r="B10" s="2" t="n"/>
      <c r="C10" s="3" t="n">
        <v>-0.1055160945687282</v>
      </c>
      <c r="D10" s="2">
        <f>FCF / Revenue</f>
        <v/>
      </c>
      <c r="E10" s="2" t="inlineStr">
        <is>
          <t>Calculated</t>
        </is>
      </c>
    </row>
    <row r="11">
      <c r="A11" s="2" t="inlineStr">
        <is>
          <t>Method conclusion</t>
        </is>
      </c>
      <c r="B11" s="2" t="n"/>
      <c r="C11" s="2" t="inlineStr">
        <is>
          <t>EV / 2024E Revenue</t>
        </is>
      </c>
      <c r="D11" s="2" t="inlineStr">
        <is>
          <t>Underwriting EBITDA remains negative</t>
        </is>
      </c>
      <c r="E11" s="2" t="inlineStr">
        <is>
          <t>CP-05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19" customWidth="1" min="5" max="5"/>
    <col width="18" customWidth="1" min="6" max="6"/>
    <col width="17" customWidth="1" min="7" max="7"/>
    <col width="22" customWidth="1" min="8" max="8"/>
    <col width="12" customWidth="1" min="9" max="9"/>
    <col width="20" customWidth="1" min="10" max="10"/>
    <col width="48" customWidth="1" min="11" max="11"/>
  </cols>
  <sheetData>
    <row r="1" ht="28" customHeight="1">
      <c r="A1" s="1" t="inlineStr">
        <is>
          <t>Case</t>
        </is>
      </c>
      <c r="B1" s="1" t="inlineStr">
        <is>
          <t>2024E Revenue</t>
        </is>
      </c>
      <c r="C1" s="1" t="inlineStr">
        <is>
          <t>EV/Revenue</t>
        </is>
      </c>
      <c r="D1" s="1" t="inlineStr">
        <is>
          <t>Enterprise Value</t>
        </is>
      </c>
      <c r="E1" s="1" t="inlineStr">
        <is>
          <t>Cash + Securities</t>
        </is>
      </c>
      <c r="F1" s="1" t="inlineStr">
        <is>
          <t>Pre-money Equity</t>
        </is>
      </c>
      <c r="G1" s="1" t="inlineStr">
        <is>
          <t>Economic Shares</t>
        </is>
      </c>
      <c r="H1" s="1" t="inlineStr">
        <is>
          <t>Undiscounted / Share</t>
        </is>
      </c>
      <c r="I1" s="1" t="inlineStr">
        <is>
          <t>Discount</t>
        </is>
      </c>
      <c r="J1" s="1" t="inlineStr">
        <is>
          <t>Supported / Share</t>
        </is>
      </c>
      <c r="K1" s="1" t="inlineStr">
        <is>
          <t>Formula</t>
        </is>
      </c>
    </row>
    <row r="2">
      <c r="A2" s="2" t="inlineStr">
        <is>
          <t>Low</t>
        </is>
      </c>
      <c r="B2" s="3" t="n">
        <v>980.91538</v>
      </c>
      <c r="C2" s="3" t="n">
        <v>4</v>
      </c>
      <c r="D2" s="3" t="n">
        <v>3923.66152</v>
      </c>
      <c r="E2" s="3" t="n">
        <v>1213.122</v>
      </c>
      <c r="F2" s="3" t="n">
        <v>5136.78352</v>
      </c>
      <c r="G2" s="3" t="n">
        <v>143.716563</v>
      </c>
      <c r="H2" s="3" t="n">
        <v>35.74246010879066</v>
      </c>
      <c r="I2" s="3" t="n">
        <v>0.125</v>
      </c>
      <c r="J2" s="3" t="n">
        <v>31.27465259519183</v>
      </c>
      <c r="K2" s="2" t="inlineStr">
        <is>
          <t>((2023A Revenue×(1+growth))×multiple+cash+securities)/shares×(1-discount)</t>
        </is>
      </c>
    </row>
    <row r="3">
      <c r="A3" s="2" t="inlineStr">
        <is>
          <t>Mid</t>
        </is>
      </c>
      <c r="B3" s="3" t="n">
        <v>980.91538</v>
      </c>
      <c r="C3" s="3" t="n">
        <v>4.5</v>
      </c>
      <c r="D3" s="3" t="n">
        <v>4414.11921</v>
      </c>
      <c r="E3" s="3" t="n">
        <v>1213.122</v>
      </c>
      <c r="F3" s="3" t="n">
        <v>5627.24121</v>
      </c>
      <c r="G3" s="3" t="n">
        <v>143.716563</v>
      </c>
      <c r="H3" s="3" t="n">
        <v>39.15513349703471</v>
      </c>
      <c r="I3" s="3" t="n">
        <v>0.125</v>
      </c>
      <c r="J3" s="3" t="n">
        <v>34.26074180990537</v>
      </c>
      <c r="K3" s="2" t="inlineStr">
        <is>
          <t>((2023A Revenue×(1+growth))×multiple+cash+securities)/shares×(1-discount)</t>
        </is>
      </c>
    </row>
    <row r="4">
      <c r="A4" s="2" t="inlineStr">
        <is>
          <t>High</t>
        </is>
      </c>
      <c r="B4" s="3" t="n">
        <v>980.91538</v>
      </c>
      <c r="C4" s="3" t="n">
        <v>5</v>
      </c>
      <c r="D4" s="3" t="n">
        <v>4904.5769</v>
      </c>
      <c r="E4" s="3" t="n">
        <v>1213.122</v>
      </c>
      <c r="F4" s="3" t="n">
        <v>6117.6989</v>
      </c>
      <c r="G4" s="3" t="n">
        <v>143.716563</v>
      </c>
      <c r="H4" s="3" t="n">
        <v>42.56780688527877</v>
      </c>
      <c r="I4" s="3" t="n">
        <v>0.125</v>
      </c>
      <c r="J4" s="3" t="n">
        <v>37.24683102461893</v>
      </c>
      <c r="K4" s="2" t="inlineStr">
        <is>
          <t>((2023A Revenue×(1+growth))×multiple+cash+securities)/shares×(1-discount)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3" customWidth="1" min="7" max="7"/>
  </cols>
  <sheetData>
    <row r="1" ht="28" customHeight="1">
      <c r="A1" s="1" t="inlineStr">
        <is>
          <t>2024E growth / EV-Revenue</t>
        </is>
      </c>
      <c r="B1" s="1" t="inlineStr">
        <is>
          <t>4.00x</t>
        </is>
      </c>
      <c r="C1" s="1" t="inlineStr">
        <is>
          <t>4.25x</t>
        </is>
      </c>
      <c r="D1" s="1" t="inlineStr">
        <is>
          <t>4.50x</t>
        </is>
      </c>
      <c r="E1" s="1" t="inlineStr">
        <is>
          <t>4.75x</t>
        </is>
      </c>
      <c r="F1" s="1" t="inlineStr">
        <is>
          <t>5.00x</t>
        </is>
      </c>
      <c r="G1" s="1" t="inlineStr">
        <is>
          <t>Note</t>
        </is>
      </c>
    </row>
    <row r="2">
      <c r="A2" s="3" t="n">
        <v>0.18</v>
      </c>
      <c r="B2" s="4" t="n">
        <v>30.49141607985712</v>
      </c>
      <c r="C2" s="4" t="n">
        <v>31.93550840500548</v>
      </c>
      <c r="D2" s="4" t="n">
        <v>33.37960073015383</v>
      </c>
      <c r="E2" s="4" t="n">
        <v>34.82369305530219</v>
      </c>
      <c r="F2" s="4" t="n">
        <v>36.26778538045055</v>
      </c>
      <c r="G2" s="2" t="inlineStr"/>
    </row>
    <row r="3">
      <c r="A3" s="3" t="n">
        <v>0.2</v>
      </c>
      <c r="B3" s="4" t="n">
        <v>30.88303433752447</v>
      </c>
      <c r="C3" s="4" t="n">
        <v>32.35160280377704</v>
      </c>
      <c r="D3" s="4" t="n">
        <v>33.8201712700296</v>
      </c>
      <c r="E3" s="4" t="n">
        <v>35.28873973628217</v>
      </c>
      <c r="F3" s="4" t="n">
        <v>36.75730820253473</v>
      </c>
      <c r="G3" s="2" t="inlineStr"/>
    </row>
    <row r="4">
      <c r="A4" s="3" t="n">
        <v>0.22</v>
      </c>
      <c r="B4" s="4" t="n">
        <v>31.27465259519183</v>
      </c>
      <c r="C4" s="4" t="n">
        <v>32.7676972025486</v>
      </c>
      <c r="D4" s="4" t="n">
        <v>34.26074180990537</v>
      </c>
      <c r="E4" s="4" t="n">
        <v>35.75378641726216</v>
      </c>
      <c r="F4" s="4" t="n">
        <v>37.24683102461893</v>
      </c>
      <c r="G4" s="2" t="inlineStr">
        <is>
          <t>BASE GROWTH</t>
        </is>
      </c>
    </row>
    <row r="5">
      <c r="A5" s="3" t="n">
        <v>0.24</v>
      </c>
      <c r="B5" s="4" t="n">
        <v>31.66627085285918</v>
      </c>
      <c r="C5" s="4" t="n">
        <v>33.18379160132017</v>
      </c>
      <c r="D5" s="4" t="n">
        <v>34.70131234978115</v>
      </c>
      <c r="E5" s="4" t="n">
        <v>36.21883309824213</v>
      </c>
      <c r="F5" s="4" t="n">
        <v>37.73635384670311</v>
      </c>
      <c r="G5" s="2" t="inlineStr"/>
    </row>
    <row r="6">
      <c r="A6" s="3" t="n">
        <v>0.26</v>
      </c>
      <c r="B6" s="4" t="n">
        <v>32.05788911052653</v>
      </c>
      <c r="C6" s="4" t="n">
        <v>33.59988600009172</v>
      </c>
      <c r="D6" s="4" t="n">
        <v>35.14188288965692</v>
      </c>
      <c r="E6" s="4" t="n">
        <v>36.68387977922211</v>
      </c>
      <c r="F6" s="4" t="n">
        <v>38.2258766687873</v>
      </c>
      <c r="G6" s="2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2" customWidth="1" min="4" max="4"/>
    <col width="33" customWidth="1" min="5" max="5"/>
  </cols>
  <sheetData>
    <row r="1" ht="28" customHeight="1">
      <c r="A1" s="1" t="inlineStr">
        <is>
          <t>Item</t>
        </is>
      </c>
      <c r="B1" s="1" t="inlineStr">
        <is>
          <t>Base</t>
        </is>
      </c>
      <c r="C1" s="1" t="inlineStr">
        <is>
          <t>Full Exercise</t>
        </is>
      </c>
      <c r="D1" s="1" t="inlineStr">
        <is>
          <t>Unit</t>
        </is>
      </c>
      <c r="E1" s="1" t="inlineStr">
        <is>
          <t>Formula / Policy</t>
        </is>
      </c>
    </row>
    <row r="2">
      <c r="A2" s="2" t="inlineStr">
        <is>
          <t>Primary shares</t>
        </is>
      </c>
      <c r="B2" s="3" t="n">
        <v>15.276527</v>
      </c>
      <c r="C2" s="3" t="n">
        <v>18.576527</v>
      </c>
      <c r="D2" s="2" t="inlineStr">
        <is>
          <t>mm shares</t>
        </is>
      </c>
      <c r="E2" s="2" t="inlineStr">
        <is>
          <t>SEC-03; full adds greenshoe</t>
        </is>
      </c>
    </row>
    <row r="3">
      <c r="A3" s="2" t="inlineStr">
        <is>
          <t>Secondary shares</t>
        </is>
      </c>
      <c r="B3" s="3" t="n">
        <v>6.723473</v>
      </c>
      <c r="C3" s="3" t="n">
        <v>6.723473</v>
      </c>
      <c r="D3" s="2" t="inlineStr">
        <is>
          <t>mm shares</t>
        </is>
      </c>
      <c r="E3" s="2" t="inlineStr">
        <is>
          <t>No company proceeds</t>
        </is>
      </c>
    </row>
    <row r="4">
      <c r="A4" s="2" t="inlineStr">
        <is>
          <t>Greenshoe in scenario</t>
        </is>
      </c>
      <c r="B4" s="3" t="n">
        <v>0</v>
      </c>
      <c r="C4" s="3" t="n">
        <v>3.3</v>
      </c>
      <c r="D4" s="2" t="inlineStr">
        <is>
          <t>mm shares</t>
        </is>
      </c>
      <c r="E4" s="2" t="inlineStr">
        <is>
          <t>CP-11</t>
        </is>
      </c>
    </row>
    <row r="5">
      <c r="A5" s="2" t="inlineStr">
        <is>
          <t>Total offered shares</t>
        </is>
      </c>
      <c r="B5" s="3" t="n">
        <v>22</v>
      </c>
      <c r="C5" s="3" t="n">
        <v>25.3</v>
      </c>
      <c r="D5" s="2" t="inlineStr">
        <is>
          <t>mm shares</t>
        </is>
      </c>
      <c r="E5" s="2" t="inlineStr">
        <is>
          <t>Primary + secondary</t>
        </is>
      </c>
    </row>
    <row r="6">
      <c r="A6" s="2" t="inlineStr">
        <is>
          <t>Company primary gross</t>
        </is>
      </c>
      <c r="B6" s="3" t="n">
        <v>519.401918</v>
      </c>
      <c r="C6" s="3" t="n">
        <v>631.601918</v>
      </c>
      <c r="D6" s="2" t="inlineStr">
        <is>
          <t>USD mm</t>
        </is>
      </c>
      <c r="E6" s="2" t="inlineStr">
        <is>
          <t>Primary shares × proposed price</t>
        </is>
      </c>
    </row>
    <row r="7">
      <c r="A7" s="2" t="inlineStr">
        <is>
          <t>Secondary gross</t>
        </is>
      </c>
      <c r="B7" s="3" t="n">
        <v>228.598082</v>
      </c>
      <c r="C7" s="3" t="n">
        <v>228.598082</v>
      </c>
      <c r="D7" s="2" t="inlineStr">
        <is>
          <t>USD mm</t>
        </is>
      </c>
      <c r="E7" s="2" t="inlineStr">
        <is>
          <t>Selling stockholders</t>
        </is>
      </c>
    </row>
    <row r="8">
      <c r="A8" s="2" t="inlineStr">
        <is>
          <t>Underwriting fee</t>
        </is>
      </c>
      <c r="B8" s="3" t="n">
        <v>25.9700959</v>
      </c>
      <c r="C8" s="3" t="n">
        <v>31.5800959</v>
      </c>
      <c r="D8" s="2" t="inlineStr">
        <is>
          <t>USD mm</t>
        </is>
      </c>
      <c r="E8" s="2" t="inlineStr">
        <is>
          <t>5% × company primary gross</t>
        </is>
      </c>
    </row>
    <row r="9">
      <c r="A9" s="2" t="inlineStr">
        <is>
          <t>Fixed company expenses</t>
        </is>
      </c>
      <c r="B9" s="3" t="n">
        <v>7</v>
      </c>
      <c r="C9" s="3" t="n">
        <v>7</v>
      </c>
      <c r="D9" s="2" t="inlineStr">
        <is>
          <t>USD mm</t>
        </is>
      </c>
      <c r="E9" s="2" t="inlineStr">
        <is>
          <t>Once only</t>
        </is>
      </c>
    </row>
    <row r="10">
      <c r="A10" s="2" t="inlineStr">
        <is>
          <t>Company net primary proceeds</t>
        </is>
      </c>
      <c r="B10" s="3" t="n">
        <v>486.4318221</v>
      </c>
      <c r="C10" s="3" t="n">
        <v>593.0218221</v>
      </c>
      <c r="D10" s="2" t="inlineStr">
        <is>
          <t>USD mm</t>
        </is>
      </c>
      <c r="E10" s="2" t="inlineStr">
        <is>
          <t>Gross - fee - fixed expenses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12" customWidth="1" min="4" max="4"/>
    <col width="36" customWidth="1" min="5" max="5"/>
  </cols>
  <sheetData>
    <row r="1" ht="28" customHeight="1">
      <c r="A1" s="1" t="inlineStr">
        <is>
          <t>Item</t>
        </is>
      </c>
      <c r="B1" s="1" t="inlineStr">
        <is>
          <t>Base</t>
        </is>
      </c>
      <c r="C1" s="1" t="inlineStr">
        <is>
          <t>Full Exercise</t>
        </is>
      </c>
      <c r="D1" s="1" t="inlineStr">
        <is>
          <t>Unit</t>
        </is>
      </c>
      <c r="E1" s="1" t="inlineStr">
        <is>
          <t>Formula / Use Boundary</t>
        </is>
      </c>
    </row>
    <row r="2">
      <c r="A2" s="2" t="inlineStr">
        <is>
          <t>Pre-money economic shares</t>
        </is>
      </c>
      <c r="B2" s="3" t="n">
        <v>143.716563</v>
      </c>
      <c r="C2" s="3" t="n">
        <v>143.716563</v>
      </c>
      <c r="D2" s="2" t="inlineStr">
        <is>
          <t>mm shares</t>
        </is>
      </c>
      <c r="E2" s="2" t="inlineStr">
        <is>
          <t>SEC-09 category sum</t>
        </is>
      </c>
    </row>
    <row r="3">
      <c r="A3" s="2" t="inlineStr">
        <is>
          <t>New primary shares</t>
        </is>
      </c>
      <c r="B3" s="3" t="n">
        <v>15.276527</v>
      </c>
      <c r="C3" s="3" t="n">
        <v>18.576527</v>
      </c>
      <c r="D3" s="2" t="inlineStr">
        <is>
          <t>mm shares</t>
        </is>
      </c>
      <c r="E3" s="2" t="inlineStr">
        <is>
          <t>Secondary excluded</t>
        </is>
      </c>
    </row>
    <row r="4">
      <c r="A4" s="2" t="inlineStr">
        <is>
          <t>Post-money shares</t>
        </is>
      </c>
      <c r="B4" s="3" t="n">
        <v>158.99309</v>
      </c>
      <c r="C4" s="3" t="n">
        <v>162.29309</v>
      </c>
      <c r="D4" s="2" t="inlineStr">
        <is>
          <t>mm shares</t>
        </is>
      </c>
      <c r="E4" s="2" t="inlineStr">
        <is>
          <t>Pre-money + primary</t>
        </is>
      </c>
    </row>
    <row r="5">
      <c r="A5" s="2" t="inlineStr">
        <is>
          <t>New shares / post-money</t>
        </is>
      </c>
      <c r="B5" s="3" t="n">
        <v>0.09608296184444243</v>
      </c>
      <c r="C5" s="3" t="n">
        <v>0.114462833876661</v>
      </c>
      <c r="D5" s="2" t="inlineStr">
        <is>
          <t>%</t>
        </is>
      </c>
      <c r="E5" s="2" t="inlineStr">
        <is>
          <t>Primary / post-money</t>
        </is>
      </c>
    </row>
    <row r="6">
      <c r="A6" s="2" t="inlineStr">
        <is>
          <t>SEC assumed price</t>
        </is>
      </c>
      <c r="B6" s="3" t="n">
        <v>32.5</v>
      </c>
      <c r="C6" s="3" t="n">
        <v>32.5</v>
      </c>
      <c r="D6" s="2" t="inlineStr">
        <is>
          <t>USD/share</t>
        </is>
      </c>
      <c r="E6" s="2" t="inlineStr">
        <is>
          <t>SEC-02 cross-check only</t>
        </is>
      </c>
    </row>
    <row r="7">
      <c r="A7" s="2" t="inlineStr">
        <is>
          <t>SEC preliminary NTBV/share</t>
        </is>
      </c>
      <c r="B7" s="3" t="n">
        <v>11.17</v>
      </c>
      <c r="C7" s="3" t="n">
        <v>11.17</v>
      </c>
      <c r="D7" s="2" t="inlineStr">
        <is>
          <t>USD/share</t>
        </is>
      </c>
      <c r="E7" s="2" t="inlineStr">
        <is>
          <t>Only at assumed $32.50</t>
        </is>
      </c>
    </row>
    <row r="8">
      <c r="A8" s="2" t="inlineStr">
        <is>
          <t>SEC immediate dilution</t>
        </is>
      </c>
      <c r="B8" s="3" t="n">
        <v>21.33</v>
      </c>
      <c r="C8" s="3" t="n">
        <v>21.33</v>
      </c>
      <c r="D8" s="2" t="inlineStr">
        <is>
          <t>USD/share</t>
        </is>
      </c>
      <c r="E8" s="2" t="inlineStr">
        <is>
          <t>Assumed price - NTBV/share</t>
        </is>
      </c>
    </row>
    <row r="9">
      <c r="A9" s="2" t="inlineStr">
        <is>
          <t>Arithmetic cross-check</t>
        </is>
      </c>
      <c r="B9" s="3" t="n">
        <v>21.33</v>
      </c>
      <c r="C9" s="3" t="n">
        <v>21.33</v>
      </c>
      <c r="D9" s="2" t="inlineStr">
        <is>
          <t>USD/share</t>
        </is>
      </c>
      <c r="E9" s="2" t="inlineStr">
        <is>
          <t>Must equal SEC immediate dilution</t>
        </is>
      </c>
    </row>
    <row r="10">
      <c r="A10" s="2" t="inlineStr">
        <is>
          <t>Boundary</t>
        </is>
      </c>
      <c r="B10" s="2" t="inlineStr">
        <is>
          <t>Do not extrapolate</t>
        </is>
      </c>
      <c r="C10" s="2" t="inlineStr">
        <is>
          <t>Do not extrapolate</t>
        </is>
      </c>
      <c r="D10" s="2" t="inlineStr">
        <is>
          <t>Text</t>
        </is>
      </c>
      <c r="E10" s="2" t="inlineStr">
        <is>
          <t>$34 formal NTBV bridge unavailable</t>
        </is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5" customWidth="1" min="4" max="4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Test / Conclusion</t>
        </is>
      </c>
    </row>
    <row r="2">
      <c r="A2" s="2" t="inlineStr">
        <is>
          <t>Supported low</t>
        </is>
      </c>
      <c r="B2" s="3" t="n">
        <v>31.27465259519183</v>
      </c>
      <c r="C2" s="2" t="inlineStr">
        <is>
          <t>USD/share</t>
        </is>
      </c>
      <c r="D2" s="2" t="inlineStr">
        <is>
          <t>4.0x after discount</t>
        </is>
      </c>
    </row>
    <row r="3">
      <c r="A3" s="2" t="inlineStr">
        <is>
          <t>Supported midpoint</t>
        </is>
      </c>
      <c r="B3" s="3" t="n">
        <v>34.26074180990537</v>
      </c>
      <c r="C3" s="2" t="inlineStr">
        <is>
          <t>USD/share</t>
        </is>
      </c>
      <c r="D3" s="2" t="inlineStr">
        <is>
          <t>4.5x after discount</t>
        </is>
      </c>
    </row>
    <row r="4">
      <c r="A4" s="2" t="inlineStr">
        <is>
          <t>Supported high</t>
        </is>
      </c>
      <c r="B4" s="3" t="n">
        <v>37.24683102461893</v>
      </c>
      <c r="C4" s="2" t="inlineStr">
        <is>
          <t>USD/share</t>
        </is>
      </c>
      <c r="D4" s="2" t="inlineStr">
        <is>
          <t>5.0x after discount</t>
        </is>
      </c>
    </row>
    <row r="5">
      <c r="A5" s="2" t="inlineStr">
        <is>
          <t>Proposed price</t>
        </is>
      </c>
      <c r="B5" s="3" t="n">
        <v>34</v>
      </c>
      <c r="C5" s="2" t="inlineStr">
        <is>
          <t>USD/share</t>
        </is>
      </c>
      <c r="D5" s="2" t="inlineStr">
        <is>
          <t>Internal decision input</t>
        </is>
      </c>
    </row>
    <row r="6">
      <c r="A6" s="2" t="inlineStr">
        <is>
          <t>Distance to midpoint</t>
        </is>
      </c>
      <c r="B6" s="3" t="n">
        <v>0.2607418099053689</v>
      </c>
      <c r="C6" s="2" t="inlineStr">
        <is>
          <t>USD/share</t>
        </is>
      </c>
      <c r="D6" s="2" t="inlineStr">
        <is>
          <t>≤ $0.50</t>
        </is>
      </c>
    </row>
    <row r="7">
      <c r="A7" s="2" t="inlineStr">
        <is>
          <t>Within supported range</t>
        </is>
      </c>
      <c r="B7" s="2" t="b">
        <v>1</v>
      </c>
      <c r="C7" s="2" t="inlineStr">
        <is>
          <t>Boolean</t>
        </is>
      </c>
      <c r="D7" s="2" t="inlineStr">
        <is>
          <t>CP-14</t>
        </is>
      </c>
    </row>
    <row r="8">
      <c r="A8" s="2" t="inlineStr">
        <is>
          <t>Underwriting EBITDA</t>
        </is>
      </c>
      <c r="B8" s="3" t="n">
        <v>-118.361</v>
      </c>
      <c r="C8" s="2" t="inlineStr">
        <is>
          <t>USD mm</t>
        </is>
      </c>
      <c r="D8" s="2" t="inlineStr">
        <is>
          <t>Negative QoE risk</t>
        </is>
      </c>
    </row>
    <row r="9">
      <c r="A9" s="2" t="inlineStr">
        <is>
          <t>Free Cash Flow</t>
        </is>
      </c>
      <c r="B9" s="3" t="n">
        <v>-84.83799999999999</v>
      </c>
      <c r="C9" s="2" t="inlineStr">
        <is>
          <t>USD mm</t>
        </is>
      </c>
      <c r="D9" s="2" t="inlineStr">
        <is>
          <t>Negative QoE risk</t>
        </is>
      </c>
    </row>
    <row r="10">
      <c r="A10" s="5" t="inlineStr">
        <is>
          <t>Recommendation</t>
        </is>
      </c>
      <c r="B10" s="2" t="inlineStr">
        <is>
          <t>Proceed</t>
        </is>
      </c>
      <c r="C10" s="2" t="inlineStr">
        <is>
          <t>Decision</t>
        </is>
      </c>
      <c r="D10" s="2" t="inlineStr">
        <is>
          <t>CP-14 / CP-15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</cols>
  <sheetData>
    <row r="1" ht="28" customHeight="1">
      <c r="A1" s="1" t="inlineStr">
        <is>
          <t>Category</t>
        </is>
      </c>
      <c r="B1" s="1" t="inlineStr">
        <is>
          <t>File / Location</t>
        </is>
      </c>
      <c r="C1" s="1" t="inlineStr">
        <is>
          <t>Original Issue</t>
        </is>
      </c>
      <c r="D1" s="1" t="inlineStr">
        <is>
          <t>Decision Basis</t>
        </is>
      </c>
      <c r="E1" s="1" t="inlineStr">
        <is>
          <t>Correct Treatment</t>
        </is>
      </c>
      <c r="F1" s="1" t="inlineStr">
        <is>
          <t>Impact</t>
        </is>
      </c>
      <c r="G1" s="1" t="inlineStr">
        <is>
          <t>Status</t>
        </is>
      </c>
    </row>
    <row r="2">
      <c r="A2" s="5" t="inlineStr">
        <is>
          <t>明细异常-重复记录</t>
        </is>
      </c>
      <c r="B2" s="2" t="inlineStr">
        <is>
          <t>financials/monthly_revenue_2022_2023.csv:14</t>
        </is>
      </c>
      <c r="C2" s="2" t="inlineStr">
        <is>
          <t>2022-08 与第 9 行同月、同源、同值重复；原始 FY2022 合计超过 SEC 年度数。</t>
        </is>
      </c>
      <c r="D2" s="2" t="inlineStr">
        <is>
          <t>完全重复记录去重；SEC-01 年度收入为控制数。</t>
        </is>
      </c>
      <c r="E2" s="2" t="inlineStr">
        <is>
          <t>排除第 14 行 57.100；去重后 FY2022=666.701。</t>
        </is>
      </c>
      <c r="F2" s="2" t="inlineStr">
        <is>
          <t>避免收入高估 57.100。</t>
        </is>
      </c>
      <c r="G2" s="2" t="inlineStr">
        <is>
          <t>已修正</t>
        </is>
      </c>
    </row>
    <row r="3">
      <c r="A3" s="5" t="inlineStr">
        <is>
          <t>明细异常-同月多值</t>
        </is>
      </c>
      <c r="B3" s="2" t="inlineStr">
        <is>
          <t>financials/monthly_revenue_2022_2023.csv:26, financials/monthly_revenue_2022_2023.csv:27</t>
        </is>
      </c>
      <c r="C3" s="2" t="inlineStr">
        <is>
          <t>2023-12 同月存在 68.979(SEC-01) / 66.500(INT-01)。</t>
        </is>
      </c>
      <c r="D3" s="2" t="inlineStr">
        <is>
          <t>CP-02 按 Source_Index Priority 升序取值；委员会邮件明确排除 IR preliminary 残留。</t>
        </is>
      </c>
      <c r="E3" s="2" t="inlineStr">
        <is>
          <t>采用 68.979(SEC-01)；排除 66.500(INT-01)；FY2023=804.029。</t>
        </is>
      </c>
      <c r="F3" s="2" t="inlineStr">
        <is>
          <t>避免低优先级草稿污染审计年度收入。</t>
        </is>
      </c>
      <c r="G3" s="2" t="inlineStr">
        <is>
          <t>已修正</t>
        </is>
      </c>
    </row>
    <row r="4">
      <c r="A4" s="5" t="inlineStr">
        <is>
          <t>明细异常-量级错位</t>
        </is>
      </c>
      <c r="B4" s="2" t="inlineStr">
        <is>
          <t>financials/revenue_by_segment_2022_2023.csv:5</t>
        </is>
      </c>
      <c r="C4" s="2" t="inlineStr">
        <is>
          <t>FY2023 Other=152.470，与 SEC-01 的 15.247 不符；分部合计不等于年度收入。</t>
        </is>
      </c>
      <c r="D4" s="2" t="inlineStr">
        <is>
          <t>SEC-01 审计年度数及分部披露优先于待复核明细。</t>
        </is>
      </c>
      <c r="E4" s="2" t="inlineStr">
        <is>
          <t>采用 SEC-01 Other=15.247；分部合计=804.029。</t>
        </is>
      </c>
      <c r="F4" s="2" t="inlineStr">
        <is>
          <t>纠正 Other 收入高估 137.223。</t>
        </is>
      </c>
      <c r="G4" s="2" t="inlineStr">
        <is>
          <t>已修正</t>
        </is>
      </c>
    </row>
    <row r="5">
      <c r="A5" s="5" t="inlineStr">
        <is>
          <t>明细异常-错误总计</t>
        </is>
      </c>
      <c r="B5" s="2" t="inlineStr">
        <is>
          <t>financials/sbc_detail_2022_2023.csv:10</t>
        </is>
      </c>
      <c r="C5" s="2" t="inlineStr">
        <is>
          <t>TOTAL=49.680，四项组成合计及 SEC-01 均为 49.086。</t>
        </is>
      </c>
      <c r="D5" s="2" t="inlineStr">
        <is>
          <t>组成项交叉加总并与 SEC-01 年度数勾稽。</t>
        </is>
      </c>
      <c r="E5" s="2" t="inlineStr">
        <is>
          <t>TOTAL 改按 49.086 使用，且总计行不与组成项再次相加。</t>
        </is>
      </c>
      <c r="F5" s="2" t="inlineStr">
        <is>
          <t>纠正总计高估 0.594。</t>
        </is>
      </c>
      <c r="G5" s="2" t="inlineStr">
        <is>
          <t>已修正</t>
        </is>
      </c>
    </row>
    <row r="6">
      <c r="A6" s="5" t="inlineStr">
        <is>
          <t>明细异常-小计重复风险</t>
        </is>
      </c>
      <c r="B6" s="2" t="inlineStr">
        <is>
          <t>financials/restructuring_detail_2023.csv:5</t>
        </is>
      </c>
      <c r="C6" s="2" t="inlineStr">
        <is>
          <t>TOTAL=8.098 与组成项并列；全行求和会错误得到 16.196。</t>
        </is>
      </c>
      <c r="D6" s="2" t="inlineStr">
        <is>
          <t>TOTAL 为小计；组成项合计与 SEC-01 年度数一致。</t>
        </is>
      </c>
      <c r="E6" s="2" t="inlineStr">
        <is>
          <t>采用 TOTAL=8.098，不重复汇总；CP-04 下不二次调整 EBITDA。</t>
        </is>
      </c>
      <c r="F6" s="2" t="inlineStr">
        <is>
          <t>避免费用和 QoE 调整重复计算。</t>
        </is>
      </c>
      <c r="G6" s="2" t="inlineStr">
        <is>
          <t>已修正</t>
        </is>
      </c>
    </row>
    <row r="7">
      <c r="A7" s="5" t="inlineStr">
        <is>
          <t>明细异常-结果行重复风险</t>
        </is>
      </c>
      <c r="B7" s="2" t="inlineStr">
        <is>
          <t>financials/fcf_bridge_2023.csv:4</t>
        </is>
      </c>
      <c r="C7" s="2" t="inlineStr">
        <is>
          <t>FCF=-84.838 是前两行计算结果；全行求和会错误得到 -169.676。</t>
        </is>
      </c>
      <c r="D7" s="2" t="inlineStr">
        <is>
          <t>SEC-01 定义 FCF=经营现金流-资本开支；资本开支在底表以负数列示。</t>
        </is>
      </c>
      <c r="E7" s="2" t="inlineStr">
        <is>
          <t>按 -52.026+(-32.812)=-84.838，结果行不再加总。</t>
        </is>
      </c>
      <c r="F7" s="2" t="inlineStr">
        <is>
          <t>避免 FCF 重复计算。</t>
        </is>
      </c>
      <c r="G7" s="2" t="inlineStr">
        <is>
          <t>已修正</t>
        </is>
      </c>
    </row>
    <row r="8">
      <c r="A8" s="5" t="inlineStr">
        <is>
          <t>Legacy-Profitability</t>
        </is>
      </c>
      <c r="B8" s="2" t="inlineStr">
        <is>
          <t>legacy/Candidate_Model_v0.xlsx:Candidate_Model</t>
        </is>
      </c>
      <c r="C8" s="2" t="inlineStr">
        <is>
          <t>Uses management Adjusted EBITDA -69.275</t>
        </is>
      </c>
      <c r="D8" s="2" t="inlineStr">
        <is>
          <t>CP-03/CP-04</t>
        </is>
      </c>
      <c r="E8" s="2" t="inlineStr">
        <is>
          <t>撤回 SBC 加回；Underwriting EBITDA=-118.361。</t>
        </is>
      </c>
      <c r="F8" s="2" t="inlineStr">
        <is>
          <t>SBC addback needs underwriting adjustment</t>
        </is>
      </c>
      <c r="G8" s="2" t="inlineStr">
        <is>
          <t>已修正</t>
        </is>
      </c>
    </row>
    <row r="9">
      <c r="A9" s="5" t="inlineStr">
        <is>
          <t>Legacy-Valuation</t>
        </is>
      </c>
      <c r="B9" s="2" t="inlineStr">
        <is>
          <t>legacy/Candidate_Model_v0.xlsx:Candidate_Model</t>
        </is>
      </c>
      <c r="C9" s="2" t="inlineStr">
        <is>
          <t>Applies 4.5x directly to 2023 revenue</t>
        </is>
      </c>
      <c r="D9" s="2" t="inlineStr">
        <is>
          <t>CP-05/CP-06/CP-09</t>
        </is>
      </c>
      <c r="E9" s="2" t="inlineStr">
        <is>
          <t>使用 2024E Revenue=980.915，并应用 12.5% 折扣。</t>
        </is>
      </c>
      <c r="F9" s="2" t="inlineStr">
        <is>
          <t>Update denominator to 2024E and apply IPO discount</t>
        </is>
      </c>
      <c r="G9" s="2" t="inlineStr">
        <is>
          <t>已修正</t>
        </is>
      </c>
    </row>
    <row r="10">
      <c r="A10" s="5" t="inlineStr">
        <is>
          <t>Legacy-Cash</t>
        </is>
      </c>
      <c r="B10" s="2" t="inlineStr">
        <is>
          <t>legacy/Candidate_Model_v0.xlsx:Candidate_Model</t>
        </is>
      </c>
      <c r="C10" s="2" t="inlineStr">
        <is>
          <t>Excludes marketable securities</t>
        </is>
      </c>
      <c r="D10" s="2" t="inlineStr">
        <is>
          <t>CP-08</t>
        </is>
      </c>
      <c r="E10" s="2" t="inlineStr">
        <is>
          <t>计入现金与有价证券；净现金=1,213.122。</t>
        </is>
      </c>
      <c r="F10" s="2" t="inlineStr">
        <is>
          <t>Net cash bridge is incomplete</t>
        </is>
      </c>
      <c r="G10" s="2" t="inlineStr">
        <is>
          <t>已修正</t>
        </is>
      </c>
    </row>
    <row r="11">
      <c r="A11" s="5" t="inlineStr">
        <is>
          <t>Legacy-Primary/Secondary</t>
        </is>
      </c>
      <c r="B11" s="2" t="inlineStr">
        <is>
          <t>legacy/Candidate_Model_v0.xlsx:Candidate_Model</t>
        </is>
      </c>
      <c r="C11" s="2" t="inlineStr">
        <is>
          <t>Treats all 22.0m base shares as primary</t>
        </is>
      </c>
      <c r="D11" s="2" t="inlineStr">
        <is>
          <t>CP-10</t>
        </is>
      </c>
      <c r="E11" s="2" t="inlineStr">
        <is>
          <t>Base primary=15.276527；secondary=6.723473。</t>
        </is>
      </c>
      <c r="F11" s="2" t="inlineStr">
        <is>
          <t>Company proceeds are overstated</t>
        </is>
      </c>
      <c r="G11" s="2" t="inlineStr">
        <is>
          <t>已修正</t>
        </is>
      </c>
    </row>
    <row r="12">
      <c r="A12" s="5" t="inlineStr">
        <is>
          <t>Legacy-Greenshoe</t>
        </is>
      </c>
      <c r="B12" s="2" t="inlineStr">
        <is>
          <t>legacy/Candidate_Model_v0.xlsx:Candidate_Model</t>
        </is>
      </c>
      <c r="C12" s="2" t="inlineStr">
        <is>
          <t>Includes 3.3m shares in Base</t>
        </is>
      </c>
      <c r="D12" s="2" t="inlineStr">
        <is>
          <t>CP-11</t>
        </is>
      </c>
      <c r="E12" s="2" t="inlineStr">
        <is>
          <t>Base 排除 3.300000；另列 full exercise。</t>
        </is>
      </c>
      <c r="F12" s="2" t="inlineStr">
        <is>
          <t>Option should be separated from Base</t>
        </is>
      </c>
      <c r="G12" s="2" t="inlineStr">
        <is>
          <t>已修正</t>
        </is>
      </c>
    </row>
    <row r="13">
      <c r="A13" s="5" t="inlineStr">
        <is>
          <t>Legacy-Underwriting fee</t>
        </is>
      </c>
      <c r="B13" s="2" t="inlineStr">
        <is>
          <t>legacy/Candidate_Model_v0.xlsx:Candidate_Model</t>
        </is>
      </c>
      <c r="C13" s="2" t="inlineStr">
        <is>
          <t>Applies fee to primary + secondary</t>
        </is>
      </c>
      <c r="D13" s="2" t="inlineStr">
        <is>
          <t>CP-12</t>
        </is>
      </c>
      <c r="E13" s="2" t="inlineStr">
        <is>
          <t>仅对公司 primary gross 按 5.0% 计提。</t>
        </is>
      </c>
      <c r="F13" s="2" t="inlineStr">
        <is>
          <t>Fee base does not match company economics</t>
        </is>
      </c>
      <c r="G13" s="2" t="inlineStr">
        <is>
          <t>已修正</t>
        </is>
      </c>
    </row>
    <row r="14">
      <c r="A14" s="5" t="inlineStr">
        <is>
          <t>Legacy-Post-money shares</t>
        </is>
      </c>
      <c r="B14" s="2" t="inlineStr">
        <is>
          <t>legacy/Candidate_Model_v0.xlsx:Candidate_Model</t>
        </is>
      </c>
      <c r="C14" s="2" t="inlineStr">
        <is>
          <t>Adds secondary shares to share count</t>
        </is>
      </c>
      <c r="D14" s="2" t="inlineStr">
        <is>
          <t>CP-10</t>
        </is>
      </c>
      <c r="E14" s="2" t="inlineStr">
        <is>
          <t>仅新增 primary；Base post-money=158.993090。</t>
        </is>
      </c>
      <c r="F14" s="2" t="inlineStr">
        <is>
          <t>Secondary is a transfer, not a new issuance</t>
        </is>
      </c>
      <c r="G14" s="2" t="inlineStr">
        <is>
          <t>已修正</t>
        </is>
      </c>
    </row>
    <row r="15">
      <c r="A15" s="5" t="inlineStr">
        <is>
          <t>Legacy-Proceeds</t>
        </is>
      </c>
      <c r="B15" s="2" t="inlineStr">
        <is>
          <t>legacy/Candidate_Model_v0.xlsx:Candidate_Model</t>
        </is>
      </c>
      <c r="C15" s="2" t="inlineStr">
        <is>
          <t>Adds secondary proceeds to company cash</t>
        </is>
      </c>
      <c r="D15" s="2" t="inlineStr">
        <is>
          <t>CP-10</t>
        </is>
      </c>
      <c r="E15" s="2" t="inlineStr">
        <is>
          <t>Secondary 所得归出售股东，公司募集资金为零。</t>
        </is>
      </c>
      <c r="F15" s="2" t="inlineStr">
        <is>
          <t>Wrong beneficiary</t>
        </is>
      </c>
      <c r="G15" s="2" t="inlineStr">
        <is>
          <t>已修正</t>
        </is>
      </c>
    </row>
    <row r="16">
      <c r="A16" s="5" t="inlineStr">
        <is>
          <t>Legacy-Dilution</t>
        </is>
      </c>
      <c r="B16" s="2" t="inlineStr">
        <is>
          <t>legacy/Candidate_Model_v0.xlsx:Candidate_Model</t>
        </is>
      </c>
      <c r="C16" s="2" t="inlineStr">
        <is>
          <t>Uses post-money equity / pre-money shares</t>
        </is>
      </c>
      <c r="D16" s="2" t="inlineStr">
        <is>
          <t>CP-10；SEC-02</t>
        </is>
      </c>
      <c r="E16" s="2" t="inlineStr">
        <is>
          <t>发行前股数加 primary 构成发行后股数；SEC-02 仅作 $32.50 独立交叉验算。</t>
        </is>
      </c>
      <c r="F16" s="2" t="inlineStr">
        <is>
          <t>Numerator and denominator are inconsistent</t>
        </is>
      </c>
      <c r="G16" s="2" t="inlineStr">
        <is>
          <t>已修正</t>
        </is>
      </c>
    </row>
    <row r="17">
      <c r="A17" s="5" t="inlineStr">
        <is>
          <t>Legacy-Recommendation</t>
        </is>
      </c>
      <c r="B17" s="2" t="inlineStr">
        <is>
          <t>legacy/Candidate_Model_v0.xlsx:Candidate_Model</t>
        </is>
      </c>
      <c r="C17" s="2" t="inlineStr">
        <is>
          <t>Moves above $34 based mainly on the peer high case</t>
        </is>
      </c>
      <c r="D17" s="2" t="inlineStr">
        <is>
          <t>CP-14/CP-15</t>
        </is>
      </c>
      <c r="E17" s="2" t="inlineStr">
        <is>
          <t>按 CP-14/15；$34 对比支持区间与 midpoint，结论=Proceed。</t>
        </is>
      </c>
      <c r="F17" s="2" t="inlineStr">
        <is>
          <t>Does not reflect Committee pricing guardrails or QoE</t>
        </is>
      </c>
      <c r="G17" s="2" t="inlineStr">
        <is>
          <t>已修正</t>
        </is>
      </c>
    </row>
    <row r="18">
      <c r="A18" s="5" t="inlineStr">
        <is>
          <t>Legacy-失效引用</t>
        </is>
      </c>
      <c r="B18" s="2" t="inlineStr">
        <is>
          <t>legacy/Candidate_Model_v0.xlsx:Valuation!C7</t>
        </is>
      </c>
      <c r="C18" s="2" t="inlineStr">
        <is>
          <t>公式 None 返回 #REF!。</t>
        </is>
      </c>
      <c r="D18" s="2" t="inlineStr">
        <is>
          <t>Candidate_Model_readme 禁止沿用未解析引用；本模型从原始输入重建。</t>
        </is>
      </c>
      <c r="E18" s="2" t="inlineStr">
        <is>
          <t>不沿用该单元格，改由本复算脚本和模型公式重建。</t>
        </is>
      </c>
      <c r="F18" s="2" t="inlineStr">
        <is>
          <t>恢复模块联动和可复算性。</t>
        </is>
      </c>
      <c r="G18" s="2" t="inlineStr">
        <is>
          <t>已修正</t>
        </is>
      </c>
    </row>
    <row r="19">
      <c r="A19" s="5" t="inlineStr">
        <is>
          <t>Legacy-失效引用</t>
        </is>
      </c>
      <c r="B19" s="2" t="inlineStr">
        <is>
          <t>legacy/Candidate_Model_v0.xlsx:QoE!D9</t>
        </is>
      </c>
      <c r="C19" s="2" t="inlineStr">
        <is>
          <t>公式 None 返回 #REF!。</t>
        </is>
      </c>
      <c r="D19" s="2" t="inlineStr">
        <is>
          <t>Candidate_Model_readme 禁止沿用未解析引用；本模型从原始输入重建。</t>
        </is>
      </c>
      <c r="E19" s="2" t="inlineStr">
        <is>
          <t>不沿用该单元格，改由本复算脚本和模型公式重建。</t>
        </is>
      </c>
      <c r="F19" s="2" t="inlineStr">
        <is>
          <t>恢复模块联动和可复算性。</t>
        </is>
      </c>
      <c r="G19" s="2" t="inlineStr">
        <is>
          <t>已修正</t>
        </is>
      </c>
    </row>
    <row r="20">
      <c r="A20" s="5" t="inlineStr">
        <is>
          <t>Legacy-失效引用</t>
        </is>
      </c>
      <c r="B20" s="2" t="inlineStr">
        <is>
          <t>legacy/Candidate_Model_v0.xlsx:Offering!C12</t>
        </is>
      </c>
      <c r="C20" s="2" t="inlineStr">
        <is>
          <t>公式 None 返回 #REF!。</t>
        </is>
      </c>
      <c r="D20" s="2" t="inlineStr">
        <is>
          <t>Candidate_Model_readme 禁止沿用未解析引用；本模型从原始输入重建。</t>
        </is>
      </c>
      <c r="E20" s="2" t="inlineStr">
        <is>
          <t>不沿用该单元格，改由本复算脚本和模型公式重建。</t>
        </is>
      </c>
      <c r="F20" s="2" t="inlineStr">
        <is>
          <t>恢复模块联动和可复算性。</t>
        </is>
      </c>
      <c r="G20" s="2" t="inlineStr">
        <is>
          <t>已修正</t>
        </is>
      </c>
    </row>
    <row r="21">
      <c r="A21" s="6" t="inlineStr">
        <is>
          <t>来源治理-索引缺口</t>
        </is>
      </c>
      <c r="B21" s="2" t="inlineStr">
        <is>
          <t>sec_filings/Source_Index.csv</t>
        </is>
      </c>
      <c r="C21" s="2" t="inlineStr">
        <is>
          <t>委员会文件使用的 UW-01 未列入主 Source_Index.csv。</t>
        </is>
      </c>
      <c r="D21" s="2" t="inlineStr">
        <is>
          <t>不得虚构 Source_ID；委员会文件本身为控制口径。</t>
        </is>
      </c>
      <c r="E21" s="2" t="inlineStr">
        <is>
          <t>关键内部假设直接追溯至委员会文件，并将 Source_ID 链接标注为待核实；未改动输入索引。</t>
        </is>
      </c>
      <c r="F21" s="2" t="inlineStr">
        <is>
          <t>不影响数值计算，但正式归档前应补齐索引治理。</t>
        </is>
      </c>
      <c r="G21" s="2" t="inlineStr">
        <is>
          <t>待核实（非数值差异）</t>
        </is>
      </c>
    </row>
  </sheetData>
  <autoFilter ref="A1:G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33" customWidth="1" min="3" max="3"/>
    <col width="12" customWidth="1" min="4" max="4"/>
    <col width="48" customWidth="1" min="5" max="5"/>
    <col width="48" customWidth="1" min="6" max="6"/>
    <col width="48" customWidth="1" min="7" max="7"/>
  </cols>
  <sheetData>
    <row r="1" ht="28" customHeight="1">
      <c r="A1" s="1" t="inlineStr">
        <is>
          <t>Metric</t>
        </is>
      </c>
      <c r="B1" s="1" t="inlineStr">
        <is>
          <t>Classification</t>
        </is>
      </c>
      <c r="C1" s="1" t="inlineStr">
        <is>
          <t>Selected Value</t>
        </is>
      </c>
      <c r="D1" s="1" t="inlineStr">
        <is>
          <t>Unit</t>
        </is>
      </c>
      <c r="E1" s="1" t="inlineStr">
        <is>
          <t>Selected Source</t>
        </is>
      </c>
      <c r="F1" s="1" t="inlineStr">
        <is>
          <t>Competing Value / Source</t>
        </is>
      </c>
      <c r="G1" s="1" t="inlineStr">
        <is>
          <t>Disposition</t>
        </is>
      </c>
    </row>
    <row r="2">
      <c r="A2" s="2" t="inlineStr">
        <is>
          <t>2023A Revenue</t>
        </is>
      </c>
      <c r="B2" s="2" t="inlineStr">
        <is>
          <t>SEC 公开事实</t>
        </is>
      </c>
      <c r="C2" s="2" t="inlineStr">
        <is>
          <t>804.029</t>
        </is>
      </c>
      <c r="D2" s="2" t="inlineStr">
        <is>
          <t>USD mm</t>
        </is>
      </c>
      <c r="E2" s="2" t="inlineStr">
        <is>
          <t>SEC-01_financials_extract.xlsx/Public_Financials; SEC-01</t>
        </is>
      </c>
      <c r="F2" s="2" t="inlineStr">
        <is>
          <t>806.200 / management_flash_20240319.csv; INT-01</t>
        </is>
      </c>
      <c r="G2" s="2" t="inlineStr">
        <is>
          <t>Priority 1 SEC-01；排除 Priority 9 未审核 flash</t>
        </is>
      </c>
    </row>
    <row r="3">
      <c r="A3" s="2" t="inlineStr">
        <is>
          <t>2023 Net loss</t>
        </is>
      </c>
      <c r="B3" s="2" t="inlineStr">
        <is>
          <t>SEC 公开事实</t>
        </is>
      </c>
      <c r="C3" s="2" t="inlineStr">
        <is>
          <t>-90.824</t>
        </is>
      </c>
      <c r="D3" s="2" t="inlineStr">
        <is>
          <t>USD mm</t>
        </is>
      </c>
      <c r="E3" s="2" t="inlineStr">
        <is>
          <t>SEC-01; Public_Financials</t>
        </is>
      </c>
      <c r="F3" s="2" t="inlineStr">
        <is>
          <t>无</t>
        </is>
      </c>
      <c r="G3" s="2" t="inlineStr">
        <is>
          <t>采用 SEC-01</t>
        </is>
      </c>
    </row>
    <row r="4">
      <c r="A4" s="2" t="inlineStr">
        <is>
          <t>Management Adjusted EBITDA</t>
        </is>
      </c>
      <c r="B4" s="2" t="inlineStr">
        <is>
          <t>SEC 披露非GAAP事实</t>
        </is>
      </c>
      <c r="C4" s="2" t="inlineStr">
        <is>
          <t>-69.275</t>
        </is>
      </c>
      <c r="D4" s="2" t="inlineStr">
        <is>
          <t>USD mm</t>
        </is>
      </c>
      <c r="E4" s="2" t="inlineStr">
        <is>
          <t>SEC-01; Public_Financials</t>
        </is>
      </c>
      <c r="F4" s="2" t="inlineStr">
        <is>
          <t>-66.100 / INT-01</t>
        </is>
      </c>
      <c r="G4" s="2" t="inlineStr">
        <is>
          <t>采用 SEC-01；非审计指标仅作桥起点</t>
        </is>
      </c>
    </row>
    <row r="5">
      <c r="A5" s="2" t="inlineStr">
        <is>
          <t>SBC and related taxes</t>
        </is>
      </c>
      <c r="B5" s="2" t="inlineStr">
        <is>
          <t>SEC 公开事实</t>
        </is>
      </c>
      <c r="C5" s="2" t="inlineStr">
        <is>
          <t>49.086</t>
        </is>
      </c>
      <c r="D5" s="2" t="inlineStr">
        <is>
          <t>USD mm</t>
        </is>
      </c>
      <c r="E5" s="2" t="inlineStr">
        <is>
          <t>SEC-01; Public_Financials</t>
        </is>
      </c>
      <c r="F5" s="2" t="inlineStr">
        <is>
          <t>49.680 / sbc_detail TOTAL；47.300 / INT-01</t>
        </is>
      </c>
      <c r="G5" s="2" t="inlineStr">
        <is>
          <t>组成项与 SEC-01 均为 49.086；排除错误总计及 flash</t>
        </is>
      </c>
    </row>
    <row r="6">
      <c r="A6" s="2" t="inlineStr">
        <is>
          <t>Underwriting EBITDA</t>
        </is>
      </c>
      <c r="B6" s="2" t="inlineStr">
        <is>
          <t>内部承销口径计算</t>
        </is>
      </c>
      <c r="C6" s="2" t="inlineStr">
        <is>
          <t>-118.361</t>
        </is>
      </c>
      <c r="D6" s="2" t="inlineStr">
        <is>
          <t>USD mm</t>
        </is>
      </c>
      <c r="E6" s="2" t="inlineStr">
        <is>
          <t>SEC-01 + Committee Policy v3 CP-03</t>
        </is>
      </c>
      <c r="F6" s="2" t="inlineStr">
        <is>
          <t>-69.275 / legacy</t>
        </is>
      </c>
      <c r="G6" s="2" t="inlineStr">
        <is>
          <t>撤回持续性 SBC 加回；restructuring 不重复处理</t>
        </is>
      </c>
    </row>
    <row r="7">
      <c r="A7" s="2" t="inlineStr">
        <is>
          <t>Free Cash Flow</t>
        </is>
      </c>
      <c r="B7" s="2" t="inlineStr">
        <is>
          <t>SEC 公开事实</t>
        </is>
      </c>
      <c r="C7" s="2" t="inlineStr">
        <is>
          <t>-84.838</t>
        </is>
      </c>
      <c r="D7" s="2" t="inlineStr">
        <is>
          <t>USD mm</t>
        </is>
      </c>
      <c r="E7" s="2" t="inlineStr">
        <is>
          <t>SEC-01</t>
        </is>
      </c>
      <c r="F7" s="2" t="inlineStr">
        <is>
          <t>-82.400 / INT-01</t>
        </is>
      </c>
      <c r="G7" s="2" t="inlineStr">
        <is>
          <t>采用 SEC-01；结果行不重复汇总</t>
        </is>
      </c>
    </row>
    <row r="8">
      <c r="A8" s="2" t="inlineStr">
        <is>
          <t>Year-end cash</t>
        </is>
      </c>
      <c r="B8" s="2" t="inlineStr">
        <is>
          <t>SEC 公开事实</t>
        </is>
      </c>
      <c r="C8" s="2" t="inlineStr">
        <is>
          <t>401.176</t>
        </is>
      </c>
      <c r="D8" s="2" t="inlineStr">
        <is>
          <t>USD mm</t>
        </is>
      </c>
      <c r="E8" s="2" t="inlineStr">
        <is>
          <t>SEC-01</t>
        </is>
      </c>
      <c r="F8" s="2" t="inlineStr">
        <is>
          <t>无</t>
        </is>
      </c>
      <c r="G8" s="2" t="inlineStr">
        <is>
          <t>采用 SEC-01</t>
        </is>
      </c>
    </row>
    <row r="9">
      <c r="A9" s="2" t="inlineStr">
        <is>
          <t>Marketable securities</t>
        </is>
      </c>
      <c r="B9" s="2" t="inlineStr">
        <is>
          <t>SEC 公开事实</t>
        </is>
      </c>
      <c r="C9" s="2" t="inlineStr">
        <is>
          <t>811.946</t>
        </is>
      </c>
      <c r="D9" s="2" t="inlineStr">
        <is>
          <t>USD mm</t>
        </is>
      </c>
      <c r="E9" s="2" t="inlineStr">
        <is>
          <t>SEC-01</t>
        </is>
      </c>
      <c r="F9" s="2" t="inlineStr">
        <is>
          <t>legacy 漏计</t>
        </is>
      </c>
      <c r="G9" s="2" t="inlineStr">
        <is>
          <t>CP-08 要求完整计入</t>
        </is>
      </c>
    </row>
    <row r="10">
      <c r="A10" s="6" t="inlineStr">
        <is>
          <t>2024E Revenue growth</t>
        </is>
      </c>
      <c r="B10" s="2" t="inlineStr">
        <is>
          <t>内部委员会假设</t>
        </is>
      </c>
      <c r="C10" s="2" t="inlineStr">
        <is>
          <t>22.0%</t>
        </is>
      </c>
      <c r="D10" s="2" t="inlineStr">
        <is>
          <t>%</t>
        </is>
      </c>
      <c r="E10" s="2" t="inlineStr">
        <is>
          <t>Committee Policy v3 CP-06</t>
        </is>
      </c>
      <c r="F10" s="2" t="inlineStr">
        <is>
          <t>18% / sector_benchmark.md（背景）</t>
        </is>
      </c>
      <c r="G10" s="2" t="inlineStr">
        <is>
          <t>采用委员会控制假设；内部委员会假设；委员会文件中的 UW-01 未列入主 Source_Index.csv，索引链接待核实</t>
        </is>
      </c>
    </row>
    <row r="11">
      <c r="A11" s="2" t="inlineStr">
        <is>
          <t>2024E Revenue</t>
        </is>
      </c>
      <c r="B11" s="2" t="inlineStr">
        <is>
          <t>内部假设推导</t>
        </is>
      </c>
      <c r="C11" s="2" t="inlineStr">
        <is>
          <t>980.915</t>
        </is>
      </c>
      <c r="D11" s="2" t="inlineStr">
        <is>
          <t>USD mm</t>
        </is>
      </c>
      <c r="E11" s="2" t="inlineStr">
        <is>
          <t>SEC-01 2023A × CP-06</t>
        </is>
      </c>
      <c r="F11" s="2" t="inlineStr">
        <is>
          <t>legacy 使用 2023A</t>
        </is>
      </c>
      <c r="G11" s="2" t="inlineStr">
        <is>
          <t>按 804.029×(1+22%) 计算</t>
        </is>
      </c>
    </row>
    <row r="12">
      <c r="A12" s="6" t="inlineStr">
        <is>
          <t>Peer multiple range</t>
        </is>
      </c>
      <c r="B12" s="2" t="inlineStr">
        <is>
          <t>内部委员会假设</t>
        </is>
      </c>
      <c r="C12" s="2" t="inlineStr">
        <is>
          <t>4.0x-5.0x; mid 4.5x</t>
        </is>
      </c>
      <c r="D12" s="2" t="inlineStr">
        <is>
          <t>x</t>
        </is>
      </c>
      <c r="E12" s="2" t="inlineStr">
        <is>
          <t>Committee Policy v3 CP-07</t>
        </is>
      </c>
      <c r="F12" s="2" t="inlineStr">
        <is>
          <t>v2 3.5x-5.5x；BANK-B 4.2x-5.1x</t>
        </is>
      </c>
      <c r="G12" s="2" t="inlineStr">
        <is>
          <t>v3 取代 v2；bank comps 仅交叉验证；内部委员会假设；委员会文件中的 UW-01 未列入主 Source_Index.csv，索引链接待核实</t>
        </is>
      </c>
    </row>
    <row r="13">
      <c r="A13" s="6" t="inlineStr">
        <is>
          <t>Execution discount</t>
        </is>
      </c>
      <c r="B13" s="2" t="inlineStr">
        <is>
          <t>内部委员会假设</t>
        </is>
      </c>
      <c r="C13" s="2" t="inlineStr">
        <is>
          <t>12.5%</t>
        </is>
      </c>
      <c r="D13" s="2" t="inlineStr">
        <is>
          <t>%</t>
        </is>
      </c>
      <c r="E13" s="2" t="inlineStr">
        <is>
          <t>Committee Policy v3 CP-09</t>
        </is>
      </c>
      <c r="F13" s="2" t="inlineStr">
        <is>
          <t>v2 10%；legacy 0%</t>
        </is>
      </c>
      <c r="G13" s="2" t="inlineStr">
        <is>
          <t>按 v3 应用于 peer-implied equity/share；内部委员会假设；委员会文件中的 UW-01 未列入主 Source_Index.csv，索引链接待核实</t>
        </is>
      </c>
    </row>
    <row r="14">
      <c r="A14" s="2" t="inlineStr">
        <is>
          <t>Pre-money economic shares</t>
        </is>
      </c>
      <c r="B14" s="2" t="inlineStr">
        <is>
          <t>SEC 事实推导/委员会快照</t>
        </is>
      </c>
      <c r="C14" s="2" t="inlineStr">
        <is>
          <t>143.716563</t>
        </is>
      </c>
      <c r="D14" s="2" t="inlineStr">
        <is>
          <t>mm shares</t>
        </is>
      </c>
      <c r="E14" s="2" t="inlineStr">
        <is>
          <t>SEC-09_capitalization.csv 各类别合计; SEC-09</t>
        </is>
      </c>
      <c r="F14" s="2" t="inlineStr">
        <is>
          <t>141.200 / SEC-16 registered shares</t>
        </is>
      </c>
      <c r="G14" s="2" t="inlineStr">
        <is>
          <t>采用 economic fully diluted；registered shares 口径不同</t>
        </is>
      </c>
    </row>
    <row r="15">
      <c r="A15" s="6" t="inlineStr">
        <is>
          <t>Proposed price</t>
        </is>
      </c>
      <c r="B15" s="2" t="inlineStr">
        <is>
          <t>内部委员会假设</t>
        </is>
      </c>
      <c r="C15" s="2" t="inlineStr">
        <is>
          <t>$34.00</t>
        </is>
      </c>
      <c r="D15" s="2" t="inlineStr">
        <is>
          <t>USD/share</t>
        </is>
      </c>
      <c r="E15" s="2" t="inlineStr">
        <is>
          <t>Offering_Terms_20240320.xlsx</t>
        </is>
      </c>
      <c r="F15" s="2" t="inlineStr">
        <is>
          <t>公开申报区间 $31.00-$34.00; SEC-03</t>
        </is>
      </c>
      <c r="G15" s="2" t="inlineStr">
        <is>
          <t>决策输入，非最终定价；内部委员会假设；委员会文件中的 UW-01 未列入主 Source_Index.csv，索引链接待核实</t>
        </is>
      </c>
    </row>
    <row r="16">
      <c r="A16" s="2" t="inlineStr">
        <is>
          <t>Primary / Secondary / Greenshoe</t>
        </is>
      </c>
      <c r="B16" s="2" t="inlineStr">
        <is>
          <t>SEC 公开事实</t>
        </is>
      </c>
      <c r="C16" s="2" t="inlineStr">
        <is>
          <t>15.276527 / 6.723473 / 3.300000</t>
        </is>
      </c>
      <c r="D16" s="2" t="inlineStr">
        <is>
          <t>mm shares</t>
        </is>
      </c>
      <c r="E16" s="2" t="inlineStr">
        <is>
          <t>SEC-03_offering_terms.xlsx; SEC-03</t>
        </is>
      </c>
      <c r="F16" s="2" t="inlineStr">
        <is>
          <t>legacy 将 22.0 全部视为 primary 且并入 greenshoe</t>
        </is>
      </c>
      <c r="G16" s="2" t="inlineStr">
        <is>
          <t>按 CP-10/11 重建；Base 排除 greenshoe</t>
        </is>
      </c>
    </row>
    <row r="17">
      <c r="A17" s="6" t="inlineStr">
        <is>
          <t>Underwriting fee / fixed expenses</t>
        </is>
      </c>
      <c r="B17" s="2" t="inlineStr">
        <is>
          <t>内部委员会假设</t>
        </is>
      </c>
      <c r="C17" s="2" t="inlineStr">
        <is>
          <t>5.0% / 7.000</t>
        </is>
      </c>
      <c r="D17" s="2" t="inlineStr">
        <is>
          <t>% / USD mm</t>
        </is>
      </c>
      <c r="E17" s="2" t="inlineStr">
        <is>
          <t>Committee Policy v3 CP-12</t>
        </is>
      </c>
      <c r="F17" s="2" t="inlineStr">
        <is>
          <t>v2 按全部股份收费</t>
        </is>
      </c>
      <c r="G17" s="2" t="inlineStr">
        <is>
          <t>仅对 primary gross；固定费用仅一次；内部委员会假设；委员会文件中的 UW-01 未列入主 Source_Index.csv，索引链接待核实</t>
        </is>
      </c>
    </row>
    <row r="18">
      <c r="A18" s="2" t="inlineStr">
        <is>
          <t>SEC dilution cross-check</t>
        </is>
      </c>
      <c r="B18" s="2" t="inlineStr">
        <is>
          <t>SEC 公开事实</t>
        </is>
      </c>
      <c r="C18" s="2" t="inlineStr">
        <is>
          <t>NTBV $11.17; dilution $21.33</t>
        </is>
      </c>
      <c r="D18" s="2" t="inlineStr">
        <is>
          <t>USD/share</t>
        </is>
      </c>
      <c r="E18" s="2" t="inlineStr">
        <is>
          <t>SEC-02_dilution_crosscheck.xlsx; SEC-02</t>
        </is>
      </c>
      <c r="F18" s="2" t="inlineStr">
        <is>
          <t>无</t>
        </is>
      </c>
      <c r="G18" s="2" t="inlineStr">
        <is>
          <t>仅适用于假定价格 $32.50，不外推至 $34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2026-10-09T14:55:11Z</dcterms:created>
  <dcterms:modified xmlns:dcterms="http://purl.org/dc/terms/" xmlns:xsi="http://www.w3.org/2001/XMLSchema-instance" xsi:type="dcterms:W3CDTF">2026-10-09T14:55:11Z</dcterms:modified>
</cp:coreProperties>
</file>