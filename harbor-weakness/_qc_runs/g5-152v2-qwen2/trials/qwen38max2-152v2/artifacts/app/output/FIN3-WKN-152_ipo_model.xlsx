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b val="1"/>
      <color rgb="00FFFFFF"/>
      <sz val="11"/>
    </font>
    <font>
      <i val="1"/>
      <sz val="9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4" fillId="0" borderId="0" pivotButton="0" quotePrefix="0" xfId="0"/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4" customWidth="1" min="4" max="4"/>
    <col width="30" customWidth="1" min="5" max="5"/>
    <col width="10" customWidth="1" min="6" max="6"/>
  </cols>
  <sheetData>
    <row r="1" ht="22" customHeight="1">
      <c r="A1" s="1" t="inlineStr">
        <is>
          <t>Inputs — 控制口径、内部假设与 SEC 公开事实（as-of 2024-03-20）</t>
        </is>
      </c>
    </row>
    <row r="3">
      <c r="A3" s="2" t="inlineStr">
        <is>
          <t>A. 控制口径版本识别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Source / Note</t>
        </is>
      </c>
    </row>
    <row r="5">
      <c r="A5" s="4" t="inlineStr">
        <is>
          <t>现行控制政策</t>
        </is>
      </c>
      <c r="B5" s="5" t="inlineStr">
        <is>
          <t>Committee_Policy_v3_20240320.xlsx</t>
        </is>
      </c>
      <c r="C5" s="5" t="inlineStr">
        <is>
          <t>committee/（最高版本 v3）</t>
        </is>
      </c>
    </row>
    <row r="6">
      <c r="A6" s="4" t="inlineStr">
        <is>
          <t>被取代版本</t>
        </is>
      </c>
      <c r="B6" s="5" t="inlineStr">
        <is>
          <t>Committee_Policy_v2_20240305.xlsx</t>
        </is>
      </c>
      <c r="C6" s="5" t="inlineStr">
        <is>
          <t>**已被 v3（2024-03-20）取代**</t>
        </is>
      </c>
    </row>
    <row r="7">
      <c r="A7" s="4" t="inlineStr">
        <is>
          <t>v2 不再适用条款</t>
        </is>
      </c>
      <c r="B7" s="5" t="inlineStr">
        <is>
          <t>CP-03 SBC 处理、CP-07 peer 区间、CP-09 执行折扣、CP-12 费用计提基数</t>
        </is>
      </c>
      <c r="C7" s="5" t="inlineStr">
        <is>
          <t>以 v3 CP-03/07/09/12 为准</t>
        </is>
      </c>
    </row>
    <row r="8">
      <c r="A8" s="4" t="inlineStr">
        <is>
          <t>控制条款数量</t>
        </is>
      </c>
      <c r="B8" s="5" t="inlineStr">
        <is>
          <t>15 (CP-01..CP-15)</t>
        </is>
      </c>
      <c r="C8" s="5" t="inlineStr">
        <is>
          <t>committee/Committee_Policy_v3</t>
        </is>
      </c>
    </row>
    <row r="9">
      <c r="A9" s="4" t="inlineStr">
        <is>
          <t>ECM 邮件确认</t>
        </is>
      </c>
      <c r="B9" s="5" t="inlineStr">
        <is>
          <t>一律以 v3 为准；v2 的 SBC 加回、10% 折扣、按全部股份计费作废</t>
        </is>
      </c>
      <c r="C9" s="5" t="inlineStr">
        <is>
          <t>committee/committee_email_thread.txt</t>
        </is>
      </c>
    </row>
    <row r="11">
      <c r="A11" s="2" t="inlineStr">
        <is>
          <t>B. 内部委员会假设（UW-01，非 SEC 公开事实；不得包装为公开披露）</t>
        </is>
      </c>
    </row>
    <row r="12">
      <c r="A12" s="3" t="inlineStr">
        <is>
          <t>Assumption</t>
        </is>
      </c>
      <c r="B12" s="3" t="inlineStr">
        <is>
          <t>Value</t>
        </is>
      </c>
      <c r="C12" s="3" t="inlineStr">
        <is>
          <t>Unit</t>
        </is>
      </c>
      <c r="D12" s="3" t="inlineStr">
        <is>
          <t>Policy_ID</t>
        </is>
      </c>
      <c r="E12" s="3" t="inlineStr">
        <is>
          <t>Source_ID</t>
        </is>
      </c>
      <c r="F12" s="3" t="inlineStr">
        <is>
          <t>Type</t>
        </is>
      </c>
    </row>
    <row r="13">
      <c r="A13" s="5" t="inlineStr">
        <is>
          <t>拟议委员会价（决策输入）</t>
        </is>
      </c>
      <c r="B13" s="4" t="n">
        <v>34</v>
      </c>
      <c r="C13" s="4" t="inlineStr">
        <is>
          <t>USD/share</t>
        </is>
      </c>
      <c r="D13" s="4" t="inlineStr">
        <is>
          <t>—</t>
        </is>
      </c>
      <c r="E13" s="4" t="inlineStr">
        <is>
          <t>UW-01</t>
        </is>
      </c>
      <c r="F13" s="4" t="inlineStr">
        <is>
          <t>内部假设</t>
        </is>
      </c>
    </row>
    <row r="14">
      <c r="A14" s="5" t="inlineStr">
        <is>
          <t>2024E revenue growth</t>
        </is>
      </c>
      <c r="B14" s="4" t="n">
        <v>0.22</v>
      </c>
      <c r="C14" s="4" t="inlineStr">
        <is>
          <t>%</t>
        </is>
      </c>
      <c r="D14" s="4" t="inlineStr">
        <is>
          <t>CP-06</t>
        </is>
      </c>
      <c r="E14" s="4" t="inlineStr">
        <is>
          <t>UW-01</t>
        </is>
      </c>
      <c r="F14" s="4" t="inlineStr">
        <is>
          <t>内部假设</t>
        </is>
      </c>
    </row>
    <row r="15">
      <c r="A15" s="5" t="inlineStr">
        <is>
          <t>Peer low EV/Revenue</t>
        </is>
      </c>
      <c r="B15" s="4" t="n">
        <v>4</v>
      </c>
      <c r="C15" s="4" t="inlineStr">
        <is>
          <t>x</t>
        </is>
      </c>
      <c r="D15" s="4" t="inlineStr">
        <is>
          <t>CP-07</t>
        </is>
      </c>
      <c r="E15" s="4" t="inlineStr">
        <is>
          <t>UW-01</t>
        </is>
      </c>
      <c r="F15" s="4" t="inlineStr">
        <is>
          <t>内部假设</t>
        </is>
      </c>
    </row>
    <row r="16">
      <c r="A16" s="5" t="inlineStr">
        <is>
          <t>Peer midpoint EV/Revenue</t>
        </is>
      </c>
      <c r="B16" s="4" t="n">
        <v>4.5</v>
      </c>
      <c r="C16" s="4" t="inlineStr">
        <is>
          <t>x</t>
        </is>
      </c>
      <c r="D16" s="4" t="inlineStr">
        <is>
          <t>CP-07</t>
        </is>
      </c>
      <c r="E16" s="4" t="inlineStr">
        <is>
          <t>UW-01</t>
        </is>
      </c>
      <c r="F16" s="4" t="inlineStr">
        <is>
          <t>内部假设</t>
        </is>
      </c>
    </row>
    <row r="17">
      <c r="A17" s="5" t="inlineStr">
        <is>
          <t>Peer high EV/Revenue</t>
        </is>
      </c>
      <c r="B17" s="4" t="n">
        <v>5</v>
      </c>
      <c r="C17" s="4" t="inlineStr">
        <is>
          <t>x</t>
        </is>
      </c>
      <c r="D17" s="4" t="inlineStr">
        <is>
          <t>CP-07</t>
        </is>
      </c>
      <c r="E17" s="4" t="inlineStr">
        <is>
          <t>UW-01</t>
        </is>
      </c>
      <c r="F17" s="4" t="inlineStr">
        <is>
          <t>内部假设</t>
        </is>
      </c>
    </row>
    <row r="18">
      <c r="A18" s="5" t="inlineStr">
        <is>
          <t>IPO execution discount</t>
        </is>
      </c>
      <c r="B18" s="4" t="n">
        <v>0.125</v>
      </c>
      <c r="C18" s="4" t="inlineStr">
        <is>
          <t>%</t>
        </is>
      </c>
      <c r="D18" s="4" t="inlineStr">
        <is>
          <t>CP-09</t>
        </is>
      </c>
      <c r="E18" s="4" t="inlineStr">
        <is>
          <t>UW-01</t>
        </is>
      </c>
      <c r="F18" s="4" t="inlineStr">
        <is>
          <t>内部假设</t>
        </is>
      </c>
    </row>
    <row r="19">
      <c r="A19" s="5" t="inlineStr">
        <is>
          <t>Underwriting fee (primary gross)</t>
        </is>
      </c>
      <c r="B19" s="4" t="n">
        <v>0.05</v>
      </c>
      <c r="C19" s="4" t="inlineStr">
        <is>
          <t>%</t>
        </is>
      </c>
      <c r="D19" s="4" t="inlineStr">
        <is>
          <t>CP-12</t>
        </is>
      </c>
      <c r="E19" s="4" t="inlineStr">
        <is>
          <t>UW-01</t>
        </is>
      </c>
      <c r="F19" s="4" t="inlineStr">
        <is>
          <t>内部假设</t>
        </is>
      </c>
    </row>
    <row r="20">
      <c r="A20" s="5" t="inlineStr">
        <is>
          <t>Fixed company expenses</t>
        </is>
      </c>
      <c r="B20" s="4" t="n">
        <v>7</v>
      </c>
      <c r="C20" s="4" t="inlineStr">
        <is>
          <t>USD mm</t>
        </is>
      </c>
      <c r="D20" s="4" t="inlineStr">
        <is>
          <t>CP-12</t>
        </is>
      </c>
      <c r="E20" s="4" t="inlineStr">
        <is>
          <t>UW-01</t>
        </is>
      </c>
      <c r="F20" s="4" t="inlineStr">
        <is>
          <t>内部假设</t>
        </is>
      </c>
    </row>
    <row r="21">
      <c r="A21" s="5" t="inlineStr">
        <is>
          <t>Cap-table snapshot (pre-money economic)</t>
        </is>
      </c>
      <c r="B21" s="4" t="n">
        <v>143.716563</v>
      </c>
      <c r="C21" s="4" t="inlineStr">
        <is>
          <t>mm shares</t>
        </is>
      </c>
      <c r="D21" s="4" t="inlineStr">
        <is>
          <t>CP-10</t>
        </is>
      </c>
      <c r="E21" s="4" t="inlineStr">
        <is>
          <t>UW-01</t>
        </is>
      </c>
      <c r="F21" s="4" t="inlineStr">
        <is>
          <t>内部假设</t>
        </is>
      </c>
    </row>
    <row r="22">
      <c r="A22" s="5" t="inlineStr">
        <is>
          <t>距 midpoint 阈值</t>
        </is>
      </c>
      <c r="B22" s="4" t="n">
        <v>0.5</v>
      </c>
      <c r="C22" s="4" t="inlineStr">
        <is>
          <t>USD/share</t>
        </is>
      </c>
      <c r="D22" s="4" t="inlineStr">
        <is>
          <t>CP-14</t>
        </is>
      </c>
      <c r="E22" s="4" t="inlineStr">
        <is>
          <t>Committee_Policy_v3</t>
        </is>
      </c>
      <c r="F22" s="4" t="inlineStr">
        <is>
          <t>政策</t>
        </is>
      </c>
    </row>
    <row r="23">
      <c r="A23" s="5" t="inlineStr">
        <is>
          <t>Valuation method</t>
        </is>
      </c>
      <c r="B23" s="4" t="inlineStr">
        <is>
          <t>EV / 2024E Revenue</t>
        </is>
      </c>
      <c r="C23" s="4" t="inlineStr">
        <is>
          <t>—</t>
        </is>
      </c>
      <c r="D23" s="4" t="inlineStr">
        <is>
          <t>CP-05</t>
        </is>
      </c>
      <c r="E23" s="4" t="inlineStr">
        <is>
          <t>UW-01</t>
        </is>
      </c>
      <c r="F23" s="4" t="inlineStr">
        <is>
          <t>内部假设</t>
        </is>
      </c>
    </row>
    <row r="25">
      <c r="A25" s="2" t="inlineStr">
        <is>
          <t>C. SEC 公开事实（Priority 1，承销口径取数来源）</t>
        </is>
      </c>
    </row>
    <row r="26">
      <c r="A26" s="3" t="inlineStr">
        <is>
          <t>Metric (FY2023)</t>
        </is>
      </c>
      <c r="B26" s="3" t="inlineStr">
        <is>
          <t>Value</t>
        </is>
      </c>
      <c r="C26" s="3" t="inlineStr">
        <is>
          <t>Unit</t>
        </is>
      </c>
      <c r="D26" s="3" t="inlineStr">
        <is>
          <t>Source_ID</t>
        </is>
      </c>
      <c r="E26" s="3" t="inlineStr">
        <is>
          <t>Priority</t>
        </is>
      </c>
    </row>
    <row r="27">
      <c r="A27" s="4" t="inlineStr">
        <is>
          <t>Revenue</t>
        </is>
      </c>
      <c r="B27" s="4" t="n">
        <v>804.029</v>
      </c>
      <c r="C27" s="4" t="inlineStr">
        <is>
          <t>USD mm</t>
        </is>
      </c>
      <c r="D27" s="4" t="inlineStr">
        <is>
          <t>SEC-01</t>
        </is>
      </c>
      <c r="E27" s="4" t="n">
        <v>1</v>
      </c>
    </row>
    <row r="28">
      <c r="A28" s="4" t="inlineStr">
        <is>
          <t>Net income (loss)</t>
        </is>
      </c>
      <c r="B28" s="4" t="n">
        <v>-90.824</v>
      </c>
      <c r="C28" s="4" t="inlineStr">
        <is>
          <t>USD mm</t>
        </is>
      </c>
      <c r="D28" s="4" t="inlineStr">
        <is>
          <t>SEC-01</t>
        </is>
      </c>
      <c r="E28" s="4" t="n">
        <v>1</v>
      </c>
    </row>
    <row r="29">
      <c r="A29" s="4" t="inlineStr">
        <is>
          <t>Management Adjusted EBITDA</t>
        </is>
      </c>
      <c r="B29" s="4" t="n">
        <v>-69.27500000000001</v>
      </c>
      <c r="C29" s="4" t="inlineStr">
        <is>
          <t>USD mm</t>
        </is>
      </c>
      <c r="D29" s="4" t="inlineStr">
        <is>
          <t>SEC-01</t>
        </is>
      </c>
      <c r="E29" s="4" t="n">
        <v>1</v>
      </c>
    </row>
    <row r="30">
      <c r="A30" s="4" t="inlineStr">
        <is>
          <t>SBC &amp; related taxes</t>
        </is>
      </c>
      <c r="B30" s="4" t="n">
        <v>49.086</v>
      </c>
      <c r="C30" s="4" t="inlineStr">
        <is>
          <t>USD mm</t>
        </is>
      </c>
      <c r="D30" s="4" t="inlineStr">
        <is>
          <t>SEC-01</t>
        </is>
      </c>
      <c r="E30" s="4" t="n">
        <v>1</v>
      </c>
    </row>
    <row r="31">
      <c r="A31" s="4" t="inlineStr">
        <is>
          <t>Restructuring costs</t>
        </is>
      </c>
      <c r="B31" s="4" t="n">
        <v>8.098000000000001</v>
      </c>
      <c r="C31" s="4" t="inlineStr">
        <is>
          <t>USD mm</t>
        </is>
      </c>
      <c r="D31" s="4" t="inlineStr">
        <is>
          <t>SEC-01</t>
        </is>
      </c>
      <c r="E31" s="4" t="n">
        <v>1</v>
      </c>
    </row>
    <row r="32">
      <c r="A32" s="4" t="inlineStr">
        <is>
          <t>Depreciation &amp; amortization</t>
        </is>
      </c>
      <c r="B32" s="4" t="n">
        <v>13.702</v>
      </c>
      <c r="C32" s="4" t="inlineStr">
        <is>
          <t>USD mm</t>
        </is>
      </c>
      <c r="D32" s="4" t="inlineStr">
        <is>
          <t>SEC-01</t>
        </is>
      </c>
      <c r="E32" s="4" t="n">
        <v>1</v>
      </c>
    </row>
    <row r="33">
      <c r="A33" s="4" t="inlineStr">
        <is>
          <t>Free Cash Flow</t>
        </is>
      </c>
      <c r="B33" s="4" t="n">
        <v>-84.83799999999999</v>
      </c>
      <c r="C33" s="4" t="inlineStr">
        <is>
          <t>USD mm</t>
        </is>
      </c>
      <c r="D33" s="4" t="inlineStr">
        <is>
          <t>SEC-01</t>
        </is>
      </c>
      <c r="E33" s="4" t="n">
        <v>1</v>
      </c>
    </row>
    <row r="34">
      <c r="A34" s="4" t="inlineStr">
        <is>
          <t>Cash &amp; cash equivalents</t>
        </is>
      </c>
      <c r="B34" s="4" t="n">
        <v>401.176</v>
      </c>
      <c r="C34" s="4" t="inlineStr">
        <is>
          <t>USD mm</t>
        </is>
      </c>
      <c r="D34" s="4" t="inlineStr">
        <is>
          <t>SEC-01</t>
        </is>
      </c>
      <c r="E34" s="4" t="n">
        <v>1</v>
      </c>
    </row>
    <row r="35">
      <c r="A35" s="4" t="inlineStr">
        <is>
          <t>Marketable securities</t>
        </is>
      </c>
      <c r="B35" s="4" t="n">
        <v>811.946</v>
      </c>
      <c r="C35" s="4" t="inlineStr">
        <is>
          <t>USD mm</t>
        </is>
      </c>
      <c r="D35" s="4" t="inlineStr">
        <is>
          <t>SEC-01</t>
        </is>
      </c>
      <c r="E35" s="4" t="n">
        <v>1</v>
      </c>
    </row>
    <row r="36">
      <c r="A36" s="4" t="inlineStr">
        <is>
          <t>Primary shares (base)</t>
        </is>
      </c>
      <c r="B36" s="4" t="n">
        <v>15.276527</v>
      </c>
      <c r="C36" s="4" t="inlineStr">
        <is>
          <t>mm shares</t>
        </is>
      </c>
      <c r="D36" s="4" t="inlineStr">
        <is>
          <t>SEC-03</t>
        </is>
      </c>
      <c r="E36" s="4" t="n">
        <v>1</v>
      </c>
    </row>
    <row r="37">
      <c r="A37" s="4" t="inlineStr">
        <is>
          <t>Secondary shares (base)</t>
        </is>
      </c>
      <c r="B37" s="4" t="n">
        <v>6.723473</v>
      </c>
      <c r="C37" s="4" t="inlineStr">
        <is>
          <t>mm shares</t>
        </is>
      </c>
      <c r="D37" s="4" t="inlineStr">
        <is>
          <t>SEC-03</t>
        </is>
      </c>
      <c r="E37" s="4" t="n">
        <v>1</v>
      </c>
    </row>
    <row r="38">
      <c r="A38" s="4" t="inlineStr">
        <is>
          <t>Over-allotment (greenshoe)</t>
        </is>
      </c>
      <c r="B38" s="4" t="n">
        <v>3.3</v>
      </c>
      <c r="C38" s="4" t="inlineStr">
        <is>
          <t>mm shares</t>
        </is>
      </c>
      <c r="D38" s="4" t="inlineStr">
        <is>
          <t>SEC-03</t>
        </is>
      </c>
      <c r="E38" s="4" t="n">
        <v>1</v>
      </c>
    </row>
    <row r="39">
      <c r="A39" s="4" t="inlineStr">
        <is>
          <t>Public filing range</t>
        </is>
      </c>
      <c r="B39" s="4" t="inlineStr">
        <is>
          <t>$31-$34</t>
        </is>
      </c>
      <c r="C39" s="4" t="inlineStr">
        <is>
          <t>USD/share</t>
        </is>
      </c>
      <c r="D39" s="4" t="inlineStr">
        <is>
          <t>SEC-03</t>
        </is>
      </c>
      <c r="E39" s="4" t="n">
        <v>1</v>
      </c>
    </row>
    <row r="40">
      <c r="A40" s="4" t="inlineStr">
        <is>
          <t>Prelim NTBV/share @$32.50</t>
        </is>
      </c>
      <c r="B40" s="4" t="n">
        <v>11.17</v>
      </c>
      <c r="C40" s="4" t="inlineStr">
        <is>
          <t>USD/share</t>
        </is>
      </c>
      <c r="D40" s="4" t="inlineStr">
        <is>
          <t>SEC-02</t>
        </is>
      </c>
      <c r="E40" s="4" t="n">
        <v>1</v>
      </c>
    </row>
    <row r="41">
      <c r="A41" s="4" t="inlineStr">
        <is>
          <t>Prelim immediate dilution @$32.50</t>
        </is>
      </c>
      <c r="B41" s="4" t="n">
        <v>21.33</v>
      </c>
      <c r="C41" s="4" t="inlineStr">
        <is>
          <t>USD/share</t>
        </is>
      </c>
      <c r="D41" s="4" t="inlineStr">
        <is>
          <t>SEC-02</t>
        </is>
      </c>
      <c r="E41" s="4" t="n">
        <v>1</v>
      </c>
    </row>
    <row r="43">
      <c r="A43" s="2" t="inlineStr">
        <is>
          <t>D. 明细↔年度勾稽（重复/未审计记录已处置）</t>
        </is>
      </c>
    </row>
    <row r="44">
      <c r="A44" s="3" t="inlineStr">
        <is>
          <t>明细表</t>
        </is>
      </c>
      <c r="B44" s="3" t="inlineStr">
        <is>
          <t>年度数(SEC-01)</t>
        </is>
      </c>
      <c r="C44" s="3" t="inlineStr">
        <is>
          <t>原始加总</t>
        </is>
      </c>
      <c r="D44" s="3" t="inlineStr">
        <is>
          <t>清洗后加总</t>
        </is>
      </c>
      <c r="E44" s="3" t="inlineStr">
        <is>
          <t>剔除记录(来源)</t>
        </is>
      </c>
      <c r="F44" s="3" t="inlineStr">
        <is>
          <t>结论</t>
        </is>
      </c>
    </row>
    <row r="45">
      <c r="A45" s="4" t="inlineStr">
        <is>
          <t>FY2022 月度收入</t>
        </is>
      </c>
      <c r="B45" s="4" t="n">
        <v>666.701</v>
      </c>
      <c r="C45" s="4" t="n">
        <v>723.801</v>
      </c>
      <c r="D45" s="4" t="n">
        <v>666.701</v>
      </c>
      <c r="E45" s="5" t="inlineStr">
        <is>
          <t>2022-08[duplicate-export] 57.1(INT-02)</t>
        </is>
      </c>
      <c r="F45" s="4" t="inlineStr">
        <is>
          <t>勾稽</t>
        </is>
      </c>
    </row>
    <row r="46">
      <c r="A46" s="4" t="inlineStr">
        <is>
          <t>FY2023 月度收入</t>
        </is>
      </c>
      <c r="B46" s="4" t="n">
        <v>804.029</v>
      </c>
      <c r="C46" s="4" t="n">
        <v>870.529</v>
      </c>
      <c r="D46" s="4" t="n">
        <v>804.029</v>
      </c>
      <c r="E46" s="5" t="inlineStr">
        <is>
          <t>2023-12[unaudited-preliminary] 66.5(INT-01)</t>
        </is>
      </c>
      <c r="F46" s="4" t="inlineStr">
        <is>
          <t>勾稽</t>
        </is>
      </c>
    </row>
    <row r="47">
      <c r="A47" s="4" t="inlineStr">
        <is>
          <t>季度收入 FY2023</t>
        </is>
      </c>
      <c r="B47" s="4" t="n">
        <v>804.029</v>
      </c>
      <c r="C47" s="4" t="inlineStr">
        <is>
          <t>—</t>
        </is>
      </c>
      <c r="D47" s="4" t="n">
        <v>804.029</v>
      </c>
      <c r="E47" s="5" t="inlineStr">
        <is>
          <t>—</t>
        </is>
      </c>
      <c r="F47" s="4" t="inlineStr">
        <is>
          <t>勾稽</t>
        </is>
      </c>
    </row>
    <row r="48">
      <c r="A48" s="4" t="inlineStr">
        <is>
          <t>分部收入 FY2023</t>
        </is>
      </c>
      <c r="B48" s="4" t="n">
        <v>804.029</v>
      </c>
      <c r="C48" s="4" t="inlineStr">
        <is>
          <t>—</t>
        </is>
      </c>
      <c r="D48" s="4" t="n">
        <v>804.029</v>
      </c>
      <c r="E48" s="5" t="inlineStr">
        <is>
          <t>—</t>
        </is>
      </c>
      <c r="F48" s="4" t="inlineStr">
        <is>
          <t>勾稽</t>
        </is>
      </c>
    </row>
    <row r="49">
      <c r="A49" s="4" t="inlineStr">
        <is>
          <t>地区收入 FY2023</t>
        </is>
      </c>
      <c r="B49" s="4" t="n">
        <v>804.029</v>
      </c>
      <c r="C49" s="4" t="inlineStr">
        <is>
          <t>—</t>
        </is>
      </c>
      <c r="D49" s="4" t="n">
        <v>804.029</v>
      </c>
      <c r="E49" s="5" t="inlineStr">
        <is>
          <t>—</t>
        </is>
      </c>
      <c r="F49" s="4" t="inlineStr">
        <is>
          <t>勾稽</t>
        </is>
      </c>
    </row>
    <row r="50">
      <c r="A50" s="4" t="inlineStr">
        <is>
          <t>SBC 明细 FY2023</t>
        </is>
      </c>
      <c r="B50" s="4" t="n">
        <v>49.086</v>
      </c>
      <c r="C50" s="4" t="inlineStr">
        <is>
          <t>—</t>
        </is>
      </c>
      <c r="D50" s="4" t="n">
        <v>49.086</v>
      </c>
      <c r="E50" s="5" t="inlineStr">
        <is>
          <t>—</t>
        </is>
      </c>
      <c r="F50" s="4" t="inlineStr">
        <is>
          <t>勾稽</t>
        </is>
      </c>
    </row>
    <row r="51">
      <c r="A51" s="4" t="inlineStr">
        <is>
          <t>重组明细 FY2023</t>
        </is>
      </c>
      <c r="B51" s="4" t="n">
        <v>8.098000000000001</v>
      </c>
      <c r="C51" s="4" t="inlineStr">
        <is>
          <t>—</t>
        </is>
      </c>
      <c r="D51" s="4" t="n">
        <v>8.098000000000001</v>
      </c>
      <c r="E51" s="5" t="inlineStr">
        <is>
          <t>—</t>
        </is>
      </c>
      <c r="F51" s="4" t="inlineStr">
        <is>
          <t>勾稽</t>
        </is>
      </c>
    </row>
    <row r="52">
      <c r="A52" s="4" t="inlineStr">
        <is>
          <t>FCF 桥 FY2023</t>
        </is>
      </c>
      <c r="B52" s="4" t="n">
        <v>-84.83799999999999</v>
      </c>
      <c r="C52" s="4" t="inlineStr">
        <is>
          <t>—</t>
        </is>
      </c>
      <c r="D52" s="4" t="n">
        <v>-84.83799999999999</v>
      </c>
      <c r="E52" s="5" t="inlineStr">
        <is>
          <t>OCF+capex</t>
        </is>
      </c>
      <c r="F52" s="4" t="inlineStr">
        <is>
          <t>勾稽</t>
        </is>
      </c>
    </row>
    <row r="53">
      <c r="A53" s="4" t="inlineStr">
        <is>
          <t>现金+有价证券</t>
        </is>
      </c>
      <c r="B53" s="4" t="n">
        <v>1213.122</v>
      </c>
      <c r="C53" s="4" t="inlineStr">
        <is>
          <t>—</t>
        </is>
      </c>
      <c r="D53" s="4" t="n">
        <v>1213.122</v>
      </c>
      <c r="E53" s="5" t="inlineStr">
        <is>
          <t>balance_sheet</t>
        </is>
      </c>
      <c r="F53" s="4" t="inlineStr">
        <is>
          <t>勾稽</t>
        </is>
      </c>
    </row>
    <row r="54">
      <c r="A54" s="4" t="inlineStr">
        <is>
          <t>利润表→净亏损</t>
        </is>
      </c>
      <c r="B54" s="4" t="n">
        <v>-90.824</v>
      </c>
      <c r="C54" s="4" t="inlineStr">
        <is>
          <t>—</t>
        </is>
      </c>
      <c r="D54" s="4" t="n">
        <v>-90.824</v>
      </c>
      <c r="E54" s="5" t="inlineStr">
        <is>
          <t>收入-成本+其他</t>
        </is>
      </c>
      <c r="F54" s="4" t="inlineStr">
        <is>
          <t>勾稽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12" customWidth="1" min="4" max="4"/>
    <col width="34" customWidth="1" min="5" max="5"/>
  </cols>
  <sheetData>
    <row r="1" ht="22" customHeight="1">
      <c r="A1" s="1" t="inlineStr">
        <is>
          <t>QoE — 盈利质量桥：管理层口径 → 承销口径（FY2023, USD mm）</t>
        </is>
      </c>
    </row>
    <row r="3">
      <c r="A3" s="3" t="inlineStr">
        <is>
          <t>Bridge item</t>
        </is>
      </c>
      <c r="B3" s="3" t="inlineStr">
        <is>
          <t>Amount (USD mm)</t>
        </is>
      </c>
      <c r="C3" s="3" t="inlineStr">
        <is>
          <t>Source</t>
        </is>
      </c>
      <c r="D3" s="3" t="inlineStr">
        <is>
          <t>Policy_ID</t>
        </is>
      </c>
      <c r="E3" s="3" t="inlineStr">
        <is>
          <t>Note</t>
        </is>
      </c>
    </row>
    <row r="4">
      <c r="A4" s="5" t="inlineStr">
        <is>
          <t>Net income (loss) — GAAP 起点</t>
        </is>
      </c>
      <c r="B4" s="4" t="n">
        <v>-90.824</v>
      </c>
      <c r="C4" s="4" t="inlineStr">
        <is>
          <t>SEC-01</t>
        </is>
      </c>
      <c r="D4" s="4" t="inlineStr">
        <is>
          <t>—</t>
        </is>
      </c>
      <c r="E4" s="5" t="inlineStr">
        <is>
          <t>审计年度数</t>
        </is>
      </c>
    </row>
    <row r="5">
      <c r="A5" s="5" t="inlineStr">
        <is>
          <t>+ SBC &amp; related taxes（管理层加回）</t>
        </is>
      </c>
      <c r="B5" s="4" t="n">
        <v>49.086</v>
      </c>
      <c r="C5" s="4" t="inlineStr">
        <is>
          <t>SEC-01</t>
        </is>
      </c>
      <c r="D5" s="4" t="inlineStr">
        <is>
          <t>CP-03</t>
        </is>
      </c>
      <c r="E5" s="5" t="inlineStr">
        <is>
          <t>管理层口径调整项</t>
        </is>
      </c>
    </row>
    <row r="6">
      <c r="A6" s="5" t="inlineStr">
        <is>
          <t>+ Restructuring（管理层加回）</t>
        </is>
      </c>
      <c r="B6" s="4" t="n">
        <v>8.098000000000001</v>
      </c>
      <c r="C6" s="4" t="inlineStr">
        <is>
          <t>SEC-01</t>
        </is>
      </c>
      <c r="D6" s="4" t="inlineStr">
        <is>
          <t>CP-04</t>
        </is>
      </c>
      <c r="E6" s="5" t="inlineStr">
        <is>
          <t>非经常性；已在管理层调整中</t>
        </is>
      </c>
    </row>
    <row r="7">
      <c r="A7" s="5" t="inlineStr">
        <is>
          <t>+ Depreciation &amp; amortization（管理层加回）</t>
        </is>
      </c>
      <c r="B7" s="4" t="n">
        <v>13.702</v>
      </c>
      <c r="C7" s="4" t="inlineStr">
        <is>
          <t>SEC-01</t>
        </is>
      </c>
      <c r="D7" s="4" t="inlineStr">
        <is>
          <t>—</t>
        </is>
      </c>
      <c r="E7" s="5" t="inlineStr">
        <is>
          <t>管理层口径调整项</t>
        </is>
      </c>
    </row>
    <row r="8">
      <c r="A8" s="6" t="inlineStr">
        <is>
          <t>+ 其他管理层调整残差（待核实）</t>
        </is>
      </c>
      <c r="B8" s="4" t="n">
        <v>-49.337</v>
      </c>
      <c r="C8" s="4" t="inlineStr">
        <is>
          <t>计算残差</t>
        </is>
      </c>
      <c r="D8" s="4" t="inlineStr">
        <is>
          <t>—</t>
        </is>
      </c>
      <c r="E8" s="5" t="inlineStr">
        <is>
          <t>摘录未逐项列明；标注待核实</t>
        </is>
      </c>
    </row>
    <row r="9">
      <c r="A9" s="7">
        <f> Management Adjusted EBITDA（非 GAAP）</f>
        <v/>
      </c>
      <c r="B9" s="4" t="n">
        <v>-69.27500000000001</v>
      </c>
      <c r="C9" s="4" t="inlineStr">
        <is>
          <t>SEC-01</t>
        </is>
      </c>
      <c r="D9" s="4" t="inlineStr">
        <is>
          <t>—</t>
        </is>
      </c>
      <c r="E9" s="5" t="inlineStr">
        <is>
          <t>管理层口径终点/承销口径起点</t>
        </is>
      </c>
    </row>
    <row r="10">
      <c r="A10" s="5" t="inlineStr">
        <is>
          <t>− SBC 加回剔除（承销口径不保留）</t>
        </is>
      </c>
      <c r="B10" s="4" t="n">
        <v>-49.086</v>
      </c>
      <c r="C10" s="4" t="inlineStr">
        <is>
          <t>CP-03</t>
        </is>
      </c>
      <c r="D10" s="4" t="inlineStr">
        <is>
          <t>CP-03</t>
        </is>
      </c>
      <c r="E10" s="5" t="inlineStr">
        <is>
          <t>SBC 视为持续性经济成本</t>
        </is>
      </c>
    </row>
    <row r="11">
      <c r="A11" s="5" t="inlineStr">
        <is>
          <t>± Restructuring（不二次调整）</t>
        </is>
      </c>
      <c r="B11" s="4" t="n">
        <v>0</v>
      </c>
      <c r="C11" s="4" t="inlineStr">
        <is>
          <t>CP-04</t>
        </is>
      </c>
      <c r="D11" s="4" t="inlineStr">
        <is>
          <t>CP-04</t>
        </is>
      </c>
      <c r="E11" s="5" t="inlineStr">
        <is>
          <t>已含于管理层调整，禁止重复加回</t>
        </is>
      </c>
    </row>
    <row r="12">
      <c r="A12" s="8">
        <f> Underwriting Adjusted EBITDA（承销口径）</f>
        <v/>
      </c>
      <c r="B12" s="4" t="n">
        <v>-118.361</v>
      </c>
      <c r="C12" s="4" t="inlineStr">
        <is>
          <t>计算</t>
        </is>
      </c>
      <c r="D12" s="4" t="inlineStr">
        <is>
          <t>CP-03/04</t>
        </is>
      </c>
      <c r="E12" s="5" t="inlineStr">
        <is>
          <t>承销口径 EBITDA</t>
        </is>
      </c>
    </row>
    <row r="14">
      <c r="A14" s="2" t="inlineStr">
        <is>
          <t>关键结论</t>
        </is>
      </c>
    </row>
    <row r="15">
      <c r="A15" s="3" t="inlineStr">
        <is>
          <t>Item</t>
        </is>
      </c>
      <c r="B15" s="3" t="inlineStr">
        <is>
          <t>Value</t>
        </is>
      </c>
      <c r="C15" s="3" t="inlineStr">
        <is>
          <t>判断/政策</t>
        </is>
      </c>
    </row>
    <row r="16">
      <c r="A16" s="9" t="inlineStr">
        <is>
          <t>Underwriting Adjusted EBITDA 是否为负</t>
        </is>
      </c>
      <c r="B16" s="4" t="inlineStr">
        <is>
          <t>是</t>
        </is>
      </c>
      <c r="C16" s="5" t="inlineStr">
        <is>
          <t>-118.361 &lt; 0</t>
        </is>
      </c>
    </row>
    <row r="17">
      <c r="A17" s="9" t="inlineStr">
        <is>
          <t>主估值方法（CP-05）</t>
        </is>
      </c>
      <c r="B17" s="4" t="inlineStr">
        <is>
          <t>EV / 2024E Revenue</t>
        </is>
      </c>
      <c r="C17" s="5" t="inlineStr">
        <is>
          <t>EBITDA 仍为负，禁用 EV/EBITDA</t>
        </is>
      </c>
    </row>
    <row r="18">
      <c r="A18" s="9" t="inlineStr">
        <is>
          <t>Free Cash Flow FY2023</t>
        </is>
      </c>
      <c r="B18" s="4" t="n">
        <v>-84.83799999999999</v>
      </c>
      <c r="C18" s="5" t="inlineStr">
        <is>
          <t>为负 → CP-13 须披露</t>
        </is>
      </c>
    </row>
    <row r="19">
      <c r="A19" s="9" t="inlineStr">
        <is>
          <t>年末可变现金融资产（cash+MS）</t>
        </is>
      </c>
      <c r="B19" s="4" t="n">
        <v>1213.122</v>
      </c>
      <c r="C19" s="5" t="inlineStr">
        <is>
          <t>CP-08 净现金桥须全额计入</t>
        </is>
      </c>
    </row>
    <row r="20">
      <c r="A20" s="9" t="inlineStr">
        <is>
          <t>重复调整检查（CP-04）</t>
        </is>
      </c>
      <c r="B20" s="4" t="inlineStr">
        <is>
          <t>重组 8.098 仅计入一次</t>
        </is>
      </c>
      <c r="C20" s="5" t="inlineStr">
        <is>
          <t>承销口径未二次加回</t>
        </is>
      </c>
    </row>
    <row r="22">
      <c r="A22" s="10" t="inlineStr">
        <is>
          <t>勾稽校验: 起点 GAAP 净亏损 + 四项调整 + 残差 = Management Adj EBITDA (-69.275 == -69.275); 承销口径 = Management − SBC = -118.361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4" customWidth="1" min="4" max="4"/>
    <col width="20" customWidth="1" min="5" max="5"/>
    <col width="16" customWidth="1" min="6" max="6"/>
    <col width="10" customWidth="1" min="7" max="7"/>
    <col width="15" customWidth="1" min="8" max="8"/>
  </cols>
  <sheetData>
    <row r="1" ht="22" customHeight="1">
      <c r="A1" s="1" t="inlineStr">
        <is>
          <t>Valuation — EV / 2024E Revenue → 折后每股价值</t>
        </is>
      </c>
    </row>
    <row r="3">
      <c r="A3" s="2" t="inlineStr">
        <is>
          <t>估值分母（CP-06，内部假设）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算式</t>
        </is>
      </c>
    </row>
    <row r="5">
      <c r="A5" s="4" t="inlineStr">
        <is>
          <t>2023A Revenue (SEC-01)</t>
        </is>
      </c>
      <c r="B5" s="4" t="n">
        <v>804.029</v>
      </c>
      <c r="C5" s="4" t="inlineStr">
        <is>
          <t>公开事实</t>
        </is>
      </c>
    </row>
    <row r="6">
      <c r="A6" s="4" t="inlineStr">
        <is>
          <t>2024E revenue growth</t>
        </is>
      </c>
      <c r="B6" s="4" t="inlineStr">
        <is>
          <t>22%</t>
        </is>
      </c>
      <c r="C6" s="4" t="inlineStr">
        <is>
          <t>CP-06 内部假设</t>
        </is>
      </c>
    </row>
    <row r="7">
      <c r="A7" s="4" t="inlineStr">
        <is>
          <t>2024E Revenue</t>
        </is>
      </c>
      <c r="B7" s="4" t="n">
        <v>980.915</v>
      </c>
      <c r="C7" s="4" t="inlineStr">
        <is>
          <t>804.029 × (1 + 22%)</t>
        </is>
      </c>
    </row>
    <row r="9">
      <c r="A9" s="2" t="inlineStr">
        <is>
          <t>净现金桥（CP-08：EV + year-end cash + marketable securities）</t>
        </is>
      </c>
    </row>
    <row r="10">
      <c r="A10" s="3" t="inlineStr">
        <is>
          <t>Item</t>
        </is>
      </c>
      <c r="B10" s="3" t="inlineStr">
        <is>
          <t>Value (USD mm)</t>
        </is>
      </c>
      <c r="C10" s="3" t="inlineStr">
        <is>
          <t>Source</t>
        </is>
      </c>
    </row>
    <row r="11">
      <c r="A11" s="4" t="inlineStr">
        <is>
          <t>Cash &amp; cash equivalents</t>
        </is>
      </c>
      <c r="B11" s="4" t="n">
        <v>401.176</v>
      </c>
      <c r="C11" s="4" t="inlineStr">
        <is>
          <t>SEC-01</t>
        </is>
      </c>
    </row>
    <row r="12">
      <c r="A12" s="4" t="inlineStr">
        <is>
          <t>Marketable securities</t>
        </is>
      </c>
      <c r="B12" s="4" t="n">
        <v>811.946</v>
      </c>
      <c r="C12" s="4" t="inlineStr">
        <is>
          <t>SEC-01</t>
        </is>
      </c>
    </row>
    <row r="13">
      <c r="A13" s="11">
        <f> 净现金桥合计</f>
        <v/>
      </c>
      <c r="B13" s="4" t="n">
        <v>1213.122</v>
      </c>
      <c r="C13" s="4" t="inlineStr">
        <is>
          <t>SEC-01 / balance_sheet</t>
        </is>
      </c>
    </row>
    <row r="15">
      <c r="A15" s="2" t="inlineStr">
        <is>
          <t>三档估值（每档：EV = mult × 2024E Rev；Pre-money Equity = EV + 净现金；每股未折扣 = Equity / pre-money shares；每股价值 = 未折扣 ×(1−12.5%)）</t>
        </is>
      </c>
    </row>
    <row r="16">
      <c r="A16" s="3" t="inlineStr">
        <is>
          <t>Case</t>
        </is>
      </c>
      <c r="B16" s="3" t="inlineStr">
        <is>
          <t>EV/Rev</t>
        </is>
      </c>
      <c r="C16" s="3" t="inlineStr">
        <is>
          <t>EV (mm)</t>
        </is>
      </c>
      <c r="D16" s="3" t="inlineStr">
        <is>
          <t>+净现金 (mm)</t>
        </is>
      </c>
      <c r="E16" s="3" t="inlineStr">
        <is>
          <t>Pre-money Equity (mm)</t>
        </is>
      </c>
      <c r="F16" s="3" t="inlineStr">
        <is>
          <t>每股未折扣 (USD)</t>
        </is>
      </c>
      <c r="G16" s="3" t="inlineStr">
        <is>
          <t>执行折扣</t>
        </is>
      </c>
      <c r="H16" s="3" t="inlineStr">
        <is>
          <t>每股价值 (USD)</t>
        </is>
      </c>
    </row>
    <row r="17">
      <c r="A17" s="4" t="inlineStr">
        <is>
          <t>Low</t>
        </is>
      </c>
      <c r="B17" s="4" t="inlineStr">
        <is>
          <t>4.0x</t>
        </is>
      </c>
      <c r="C17" s="4" t="n">
        <v>3923.662</v>
      </c>
      <c r="D17" s="4" t="n">
        <v>1213.122</v>
      </c>
      <c r="E17" s="4" t="n">
        <v>5136.784</v>
      </c>
      <c r="F17" s="4" t="n">
        <v>35.7425</v>
      </c>
      <c r="G17" s="4" t="inlineStr">
        <is>
          <t>12.5%</t>
        </is>
      </c>
      <c r="H17" s="12" t="n">
        <v>31.2747</v>
      </c>
    </row>
    <row r="18">
      <c r="A18" s="4" t="inlineStr">
        <is>
          <t>Mid</t>
        </is>
      </c>
      <c r="B18" s="4" t="inlineStr">
        <is>
          <t>4.5x</t>
        </is>
      </c>
      <c r="C18" s="4" t="n">
        <v>4414.119</v>
      </c>
      <c r="D18" s="4" t="n">
        <v>1213.122</v>
      </c>
      <c r="E18" s="4" t="n">
        <v>5627.241</v>
      </c>
      <c r="F18" s="4" t="n">
        <v>39.1551</v>
      </c>
      <c r="G18" s="4" t="inlineStr">
        <is>
          <t>12.5%</t>
        </is>
      </c>
      <c r="H18" s="12" t="n">
        <v>34.2607</v>
      </c>
    </row>
    <row r="19">
      <c r="A19" s="4" t="inlineStr">
        <is>
          <t>High</t>
        </is>
      </c>
      <c r="B19" s="4" t="inlineStr">
        <is>
          <t>5.0x</t>
        </is>
      </c>
      <c r="C19" s="4" t="n">
        <v>4904.577</v>
      </c>
      <c r="D19" s="4" t="n">
        <v>1213.122</v>
      </c>
      <c r="E19" s="4" t="n">
        <v>6117.699</v>
      </c>
      <c r="F19" s="4" t="n">
        <v>42.5678</v>
      </c>
      <c r="G19" s="4" t="inlineStr">
        <is>
          <t>12.5%</t>
        </is>
      </c>
      <c r="H19" s="12" t="n">
        <v>37.2468</v>
      </c>
    </row>
    <row r="21">
      <c r="A21" s="3" t="inlineStr">
        <is>
          <t>Committee range / midpoint</t>
        </is>
      </c>
      <c r="B21" s="3" t="inlineStr">
        <is>
          <t>Value (USD/share)</t>
        </is>
      </c>
      <c r="C21" s="3" t="inlineStr">
        <is>
          <t>说明</t>
        </is>
      </c>
    </row>
    <row r="22">
      <c r="A22" s="4" t="inlineStr">
        <is>
          <t>支持区间 Low</t>
        </is>
      </c>
      <c r="B22" s="4" t="n">
        <v>31.2747</v>
      </c>
      <c r="C22" s="4" t="inlineStr">
        <is>
          <t>CP-07 4.0x + CP-09 折扣</t>
        </is>
      </c>
    </row>
    <row r="23">
      <c r="A23" s="4" t="inlineStr">
        <is>
          <t>支持区间 High</t>
        </is>
      </c>
      <c r="B23" s="4" t="n">
        <v>37.2468</v>
      </c>
      <c r="C23" s="4" t="inlineStr">
        <is>
          <t>CP-07 5.0x + CP-09 折扣</t>
        </is>
      </c>
    </row>
    <row r="24">
      <c r="A24" s="4" t="inlineStr">
        <is>
          <t>Midpoint</t>
        </is>
      </c>
      <c r="B24" s="12" t="n">
        <v>34.2607</v>
      </c>
      <c r="C24" s="4" t="inlineStr">
        <is>
          <t>(Low+High)/2 = Mid case</t>
        </is>
      </c>
    </row>
    <row r="25">
      <c r="A25" s="4" t="inlineStr">
        <is>
          <t>拟议价 $34</t>
        </is>
      </c>
      <c r="B25" s="4" t="n">
        <v>34</v>
      </c>
      <c r="C25" s="4" t="inlineStr">
        <is>
          <t>决策输入（非已实现结果）</t>
        </is>
      </c>
    </row>
    <row r="26">
      <c r="A26" s="4" t="inlineStr">
        <is>
          <t>距 midpoint</t>
        </is>
      </c>
      <c r="B26" s="4" t="n">
        <v>0.2607</v>
      </c>
      <c r="C26" s="4" t="inlineStr">
        <is>
          <t>|34.0 − 34.2607| ≤ 0.50 阈值</t>
        </is>
      </c>
    </row>
    <row r="27">
      <c r="A27" s="4" t="inlineStr">
        <is>
          <t>是否位于支持区间内</t>
        </is>
      </c>
      <c r="B27" s="4" t="inlineStr">
        <is>
          <t>是</t>
        </is>
      </c>
      <c r="C27" s="4" t="inlineStr">
        <is>
          <t>CP-14</t>
        </is>
      </c>
    </row>
    <row r="29">
      <c r="A29" s="10" t="inlineStr">
        <is>
          <t>折扣口径（CP-09 + ECM 邮件#4）：12.5% 作用于 peer-implied equity value/share，不乘在收入或 EV 上。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6" customWidth="1" min="7" max="7"/>
  </cols>
  <sheetData>
    <row r="1" ht="22" customHeight="1">
      <c r="A1" s="1" t="inlineStr">
        <is>
          <t>Sensitivity — 2024E 增长率 × EV/Revenue → 折后每股价值 (USD/share)</t>
        </is>
      </c>
    </row>
    <row r="3">
      <c r="A3" s="3" t="inlineStr">
        <is>
          <t>2024E growth \ EV/Rev</t>
        </is>
      </c>
      <c r="B3" s="3" t="inlineStr">
        <is>
          <t>3.50x</t>
        </is>
      </c>
      <c r="C3" s="3" t="inlineStr">
        <is>
          <t>4.00x</t>
        </is>
      </c>
      <c r="D3" s="3" t="inlineStr">
        <is>
          <t>4.50x</t>
        </is>
      </c>
      <c r="E3" s="3" t="inlineStr">
        <is>
          <t>5.00x</t>
        </is>
      </c>
      <c r="F3" s="3" t="inlineStr">
        <is>
          <t>5.50x</t>
        </is>
      </c>
      <c r="G3" s="3" t="inlineStr">
        <is>
          <t>row note</t>
        </is>
      </c>
    </row>
    <row r="4">
      <c r="A4" s="11" t="inlineStr">
        <is>
          <t>14%</t>
        </is>
      </c>
      <c r="B4" s="13" t="n">
        <v>26.918</v>
      </c>
      <c r="C4" s="4" t="n">
        <v>29.708</v>
      </c>
      <c r="D4" s="4" t="n">
        <v>32.498</v>
      </c>
      <c r="E4" s="4" t="n">
        <v>35.289</v>
      </c>
      <c r="F4" s="13" t="n">
        <v>38.079</v>
      </c>
      <c r="G4" s="5" t="inlineStr"/>
    </row>
    <row r="5">
      <c r="A5" s="11" t="inlineStr">
        <is>
          <t>18%</t>
        </is>
      </c>
      <c r="B5" s="13" t="n">
        <v>27.603</v>
      </c>
      <c r="C5" s="4" t="n">
        <v>30.491</v>
      </c>
      <c r="D5" s="4" t="n">
        <v>33.38</v>
      </c>
      <c r="E5" s="4" t="n">
        <v>36.268</v>
      </c>
      <c r="F5" s="13" t="n">
        <v>39.156</v>
      </c>
      <c r="G5" s="5" t="inlineStr"/>
    </row>
    <row r="6">
      <c r="A6" s="11" t="inlineStr">
        <is>
          <t>22%</t>
        </is>
      </c>
      <c r="B6" s="13" t="n">
        <v>28.289</v>
      </c>
      <c r="C6" s="4" t="n">
        <v>31.275</v>
      </c>
      <c r="D6" s="12" t="n">
        <v>34.261</v>
      </c>
      <c r="E6" s="4" t="n">
        <v>37.247</v>
      </c>
      <c r="F6" s="13" t="n">
        <v>40.233</v>
      </c>
      <c r="G6" s="5" t="inlineStr">
        <is>
          <t>BASE growth (CP-06 22%)</t>
        </is>
      </c>
    </row>
    <row r="7">
      <c r="A7" s="11" t="inlineStr">
        <is>
          <t>26%</t>
        </is>
      </c>
      <c r="B7" s="13" t="n">
        <v>28.974</v>
      </c>
      <c r="C7" s="4" t="n">
        <v>32.058</v>
      </c>
      <c r="D7" s="4" t="n">
        <v>35.142</v>
      </c>
      <c r="E7" s="4" t="n">
        <v>38.226</v>
      </c>
      <c r="F7" s="13" t="n">
        <v>41.31</v>
      </c>
      <c r="G7" s="5" t="inlineStr"/>
    </row>
    <row r="8">
      <c r="A8" s="11" t="inlineStr">
        <is>
          <t>30%</t>
        </is>
      </c>
      <c r="B8" s="13" t="n">
        <v>29.659</v>
      </c>
      <c r="C8" s="4" t="n">
        <v>32.841</v>
      </c>
      <c r="D8" s="4" t="n">
        <v>36.023</v>
      </c>
      <c r="E8" s="4" t="n">
        <v>39.205</v>
      </c>
      <c r="F8" s="13" t="n">
        <v>42.387</v>
      </c>
      <c r="G8" s="5" t="inlineStr"/>
    </row>
    <row r="10">
      <c r="A10" s="10" t="inlineStr">
        <is>
          <t>图例：绿=Base case (22%, 4.5x)；红=控制区间外倍数(3.5x/5.5x，仅压力测试)；白=CP-07 控制区间 4.0x–5.0x。</t>
        </is>
      </c>
    </row>
    <row r="11">
      <c r="A11" s="2" t="inlineStr">
        <is>
          <t>Base case 每股价值 = $34.2607；支持区间 $31.2747–$37.2468。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4" customWidth="1" min="4" max="4"/>
    <col width="12" customWidth="1" min="5" max="5"/>
  </cols>
  <sheetData>
    <row r="1" ht="22" customHeight="1">
      <c r="A1" s="1" t="inlineStr">
        <is>
          <t>Offering &amp; Proceeds — Base vs Full-exercise（公司口径, USD mm）</t>
        </is>
      </c>
    </row>
    <row r="3">
      <c r="A3" s="3" t="inlineStr">
        <is>
          <t>Item</t>
        </is>
      </c>
      <c r="B3" s="3" t="inlineStr">
        <is>
          <t>Base Offering</t>
        </is>
      </c>
      <c r="C3" s="3" t="inlineStr">
        <is>
          <t>Full Greenshoe</t>
        </is>
      </c>
      <c r="D3" s="3" t="inlineStr">
        <is>
          <t>算式 / Source</t>
        </is>
      </c>
      <c r="E3" s="3" t="inlineStr">
        <is>
          <t>Policy</t>
        </is>
      </c>
    </row>
    <row r="4">
      <c r="A4" s="4" t="inlineStr">
        <is>
          <t>Primary shares (mm)</t>
        </is>
      </c>
      <c r="B4" s="4" t="n">
        <v>15.276527</v>
      </c>
      <c r="C4" s="4" t="n">
        <v>18.576527</v>
      </c>
      <c r="D4" s="5" t="inlineStr">
        <is>
          <t>SEC-03 / +3.3 greenshoe</t>
        </is>
      </c>
      <c r="E4" s="4" t="inlineStr">
        <is>
          <t>CP-10/11</t>
        </is>
      </c>
    </row>
    <row r="5">
      <c r="A5" s="4" t="inlineStr">
        <is>
          <t>Secondary shares (mm)</t>
        </is>
      </c>
      <c r="B5" s="4" t="n">
        <v>6.723473</v>
      </c>
      <c r="C5" s="4" t="n">
        <v>6.723473</v>
      </c>
      <c r="D5" s="5" t="inlineStr">
        <is>
          <t>SEC-03（无公司募集）</t>
        </is>
      </c>
      <c r="E5" s="4" t="inlineStr">
        <is>
          <t>CP-10</t>
        </is>
      </c>
    </row>
    <row r="6">
      <c r="A6" s="4" t="inlineStr">
        <is>
          <t>Proposed price (USD)</t>
        </is>
      </c>
      <c r="B6" s="4" t="n">
        <v>34</v>
      </c>
      <c r="C6" s="4" t="n">
        <v>34</v>
      </c>
      <c r="D6" s="5" t="inlineStr">
        <is>
          <t>UW-01 决策输入</t>
        </is>
      </c>
      <c r="E6" s="4" t="inlineStr">
        <is>
          <t>—</t>
        </is>
      </c>
    </row>
    <row r="7">
      <c r="A7" s="4" t="inlineStr">
        <is>
          <t>Primary gross proceeds</t>
        </is>
      </c>
      <c r="B7" s="4" t="n">
        <v>519.4019</v>
      </c>
      <c r="C7" s="4" t="n">
        <v>631.6019</v>
      </c>
      <c r="D7" s="5" t="inlineStr">
        <is>
          <t>primary×price (+112.2 greenshoe)</t>
        </is>
      </c>
      <c r="E7" s="4" t="inlineStr">
        <is>
          <t>CP-12</t>
        </is>
      </c>
    </row>
    <row r="8">
      <c r="A8" s="4" t="inlineStr">
        <is>
          <t>Secondary proceeds to company</t>
        </is>
      </c>
      <c r="B8" s="4" t="n">
        <v>0</v>
      </c>
      <c r="C8" s="4" t="n">
        <v>0</v>
      </c>
      <c r="D8" s="5" t="inlineStr">
        <is>
          <t>归出售股东，公司不取得</t>
        </is>
      </c>
      <c r="E8" s="4" t="inlineStr">
        <is>
          <t>SEC-03/06/12</t>
        </is>
      </c>
    </row>
    <row r="9">
      <c r="A9" s="4" t="inlineStr">
        <is>
          <t>Underwriting fee (5% × primary gross)</t>
        </is>
      </c>
      <c r="B9" s="4" t="n">
        <v>25.9701</v>
      </c>
      <c r="C9" s="4" t="n">
        <v>31.5801</v>
      </c>
      <c r="D9" s="5" t="inlineStr">
        <is>
          <t>仅 primary gross 计提</t>
        </is>
      </c>
      <c r="E9" s="4" t="inlineStr">
        <is>
          <t>CP-12/SEC-10</t>
        </is>
      </c>
    </row>
    <row r="10">
      <c r="A10" s="4" t="inlineStr">
        <is>
          <t>Fixed company expenses</t>
        </is>
      </c>
      <c r="B10" s="4" t="n">
        <v>7</v>
      </c>
      <c r="C10" s="4" t="n">
        <v>7</v>
      </c>
      <c r="D10" s="5" t="inlineStr">
        <is>
          <t>greenshoe 增量不重复扣固定费用</t>
        </is>
      </c>
      <c r="E10" s="4" t="inlineStr">
        <is>
          <t>CP-12</t>
        </is>
      </c>
    </row>
    <row r="11">
      <c r="A11" s="4" t="inlineStr">
        <is>
          <t>Net primary proceeds to company</t>
        </is>
      </c>
      <c r="B11" s="12" t="n">
        <v>486.4318</v>
      </c>
      <c r="C11" s="12" t="n">
        <v>593.0218</v>
      </c>
      <c r="D11" s="5" t="inlineStr">
        <is>
          <t>gross − fee − fixed</t>
        </is>
      </c>
      <c r="E11" s="4" t="inlineStr">
        <is>
          <t>CP-12</t>
        </is>
      </c>
    </row>
    <row r="12">
      <c r="A12" s="4" t="inlineStr">
        <is>
          <t>Greenshoe 增量 gross / fee / net</t>
        </is>
      </c>
      <c r="B12" s="4" t="inlineStr">
        <is>
          <t>n/a</t>
        </is>
      </c>
      <c r="C12" s="4" t="inlineStr">
        <is>
          <t>112.2 / 5.61 / 106.59</t>
        </is>
      </c>
      <c r="D12" s="5" t="inlineStr">
        <is>
          <t>增量只扣 5% fee</t>
        </is>
      </c>
      <c r="E12" s="4" t="inlineStr">
        <is>
          <t>CP-11/12</t>
        </is>
      </c>
    </row>
    <row r="14">
      <c r="A14" s="10" t="inlineStr">
        <is>
          <t>口径提示：secondary 不形成公司募集资金、不增加公司总股数；greenshoe 不预设进 Base，full-exercise 单列。承销费按公司 primary gross proceeds 计提，固定费用仅计一次。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32" customWidth="1" min="4" max="4"/>
    <col width="12" customWidth="1" min="5" max="5"/>
  </cols>
  <sheetData>
    <row r="1" ht="22" customHeight="1">
      <c r="A1" s="1" t="inlineStr">
        <is>
          <t>Dilution — 股本桥与稀释（Base / Full-exercise）+ SEC-02 独立交叉验算</t>
        </is>
      </c>
    </row>
    <row r="3">
      <c r="A3" s="3" t="inlineStr">
        <is>
          <t>Item</t>
        </is>
      </c>
      <c r="B3" s="3" t="inlineStr">
        <is>
          <t>Base</t>
        </is>
      </c>
      <c r="C3" s="3" t="inlineStr">
        <is>
          <t>Full-exercise</t>
        </is>
      </c>
      <c r="D3" s="3" t="inlineStr">
        <is>
          <t>算式 / Source</t>
        </is>
      </c>
      <c r="E3" s="3" t="inlineStr">
        <is>
          <t>Policy</t>
        </is>
      </c>
    </row>
    <row r="4">
      <c r="A4" s="4" t="inlineStr">
        <is>
          <t>Pre-money economic shares (mm)</t>
        </is>
      </c>
      <c r="B4" s="4" t="n">
        <v>143.716563</v>
      </c>
      <c r="C4" s="4" t="n">
        <v>143.716563</v>
      </c>
      <c r="D4" s="5" t="inlineStr">
        <is>
          <t>UW-01 cap-table snapshot（分项勾稽一致）</t>
        </is>
      </c>
      <c r="E4" s="4" t="inlineStr">
        <is>
          <t>CP-10</t>
        </is>
      </c>
    </row>
    <row r="5">
      <c r="A5" s="4" t="inlineStr">
        <is>
          <t>+ Primary shares issued (mm)</t>
        </is>
      </c>
      <c r="B5" s="4" t="n">
        <v>15.276527</v>
      </c>
      <c r="C5" s="4" t="n">
        <v>18.576527</v>
      </c>
      <c r="D5" s="5" t="inlineStr">
        <is>
          <t>SEC-03（新增发行）</t>
        </is>
      </c>
      <c r="E5" s="4" t="inlineStr">
        <is>
          <t>CP-10/11</t>
        </is>
      </c>
    </row>
    <row r="6">
      <c r="A6" s="4" t="inlineStr">
        <is>
          <t>+ Secondary shares (mm)</t>
        </is>
      </c>
      <c r="B6" s="4" t="n">
        <v>0</v>
      </c>
      <c r="C6" s="4" t="n">
        <v>0</v>
      </c>
      <c r="D6" s="5" t="inlineStr">
        <is>
          <t>secondary 为转让，不新增公司股数</t>
        </is>
      </c>
      <c r="E6" s="4" t="inlineStr">
        <is>
          <t>CP-10</t>
        </is>
      </c>
    </row>
    <row r="7">
      <c r="A7" s="4">
        <f> Post-money shares (mm)</f>
        <v/>
      </c>
      <c r="B7" s="11" t="n">
        <v>158.99309</v>
      </c>
      <c r="C7" s="11" t="n">
        <v>162.29309</v>
      </c>
      <c r="D7" s="5" t="inlineStr">
        <is>
          <t>pre-money + primary</t>
        </is>
      </c>
      <c r="E7" s="4" t="inlineStr">
        <is>
          <t>CP-10</t>
        </is>
      </c>
    </row>
    <row r="8">
      <c r="A8" s="4" t="inlineStr">
        <is>
          <t>新增股份占 post-money 比例</t>
        </is>
      </c>
      <c r="B8" s="4" t="inlineStr">
        <is>
          <t>9.6083%</t>
        </is>
      </c>
      <c r="C8" s="4" t="inlineStr">
        <is>
          <t>11.4463%</t>
        </is>
      </c>
      <c r="D8" s="5" t="inlineStr">
        <is>
          <t>primary / post-money</t>
        </is>
      </c>
      <c r="E8" s="4" t="inlineStr">
        <is>
          <t>—</t>
        </is>
      </c>
    </row>
    <row r="9">
      <c r="A9" s="4" t="inlineStr">
        <is>
          <t>Pre-money implied equity @$34 (mm)</t>
        </is>
      </c>
      <c r="B9" s="4" t="n">
        <v>4886.363</v>
      </c>
      <c r="C9" s="4" t="n">
        <v>4886.363</v>
      </c>
      <c r="D9" s="5" t="inlineStr">
        <is>
          <t>pre-money shares × price</t>
        </is>
      </c>
      <c r="E9" s="4" t="inlineStr">
        <is>
          <t>—</t>
        </is>
      </c>
    </row>
    <row r="10">
      <c r="A10" s="4" t="inlineStr">
        <is>
          <t>Post-money implied equity @$34 (mm)</t>
        </is>
      </c>
      <c r="B10" s="4" t="n">
        <v>5405.765</v>
      </c>
      <c r="C10" s="4" t="n">
        <v>5517.965</v>
      </c>
      <c r="D10" s="5" t="inlineStr">
        <is>
          <t>post-money shares × price</t>
        </is>
      </c>
      <c r="E10" s="4" t="inlineStr">
        <is>
          <t>—</t>
        </is>
      </c>
    </row>
    <row r="12">
      <c r="A12" s="2" t="inlineStr">
        <is>
          <t>SEC-02 独立口径交叉验算（假定价 $32.50，Priority 1）</t>
        </is>
      </c>
    </row>
    <row r="13">
      <c r="A13" s="3" t="inlineStr">
        <is>
          <t>Item</t>
        </is>
      </c>
      <c r="B13" s="3" t="inlineStr">
        <is>
          <t>Value</t>
        </is>
      </c>
      <c r="C13" s="3" t="inlineStr">
        <is>
          <t>Source</t>
        </is>
      </c>
      <c r="D13" s="3" t="inlineStr">
        <is>
          <t>用途边界</t>
        </is>
      </c>
    </row>
    <row r="14">
      <c r="A14" s="4" t="inlineStr">
        <is>
          <t>Preliminary NTBV/share</t>
        </is>
      </c>
      <c r="B14" s="4" t="n">
        <v>11.17</v>
      </c>
      <c r="C14" s="4" t="inlineStr">
        <is>
          <t>SEC-02</t>
        </is>
      </c>
      <c r="D14" s="5" t="inlineStr">
        <is>
          <t>仅 SEC 假定价 $32.50 口径</t>
        </is>
      </c>
    </row>
    <row r="15">
      <c r="A15" s="4" t="inlineStr">
        <is>
          <t>Preliminary immediate dilution/share</t>
        </is>
      </c>
      <c r="B15" s="4" t="n">
        <v>21.33</v>
      </c>
      <c r="C15" s="4" t="inlineStr">
        <is>
          <t>SEC-02</t>
        </is>
      </c>
      <c r="D15" s="5" t="inlineStr">
        <is>
          <t>不得缩放至 $34</t>
        </is>
      </c>
    </row>
    <row r="16">
      <c r="A16" s="4" t="inlineStr">
        <is>
          <t>复算 dilution = price − NTBV</t>
        </is>
      </c>
      <c r="B16" s="4" t="n">
        <v>21.33</v>
      </c>
      <c r="C16" s="4" t="inlineStr">
        <is>
          <t>计算</t>
        </is>
      </c>
      <c r="D16" s="5" t="inlineStr">
        <is>
          <t>32.5 − 11.17</t>
        </is>
      </c>
    </row>
    <row r="17">
      <c r="A17" s="4" t="inlineStr">
        <is>
          <t>与 SEC-02 披露是否一致</t>
        </is>
      </c>
      <c r="B17" s="4" t="inlineStr">
        <is>
          <t>一致</t>
        </is>
      </c>
      <c r="C17" s="4" t="inlineStr">
        <is>
          <t>交叉验算</t>
        </is>
      </c>
      <c r="D17" s="5" t="inlineStr">
        <is>
          <t>验证方向正确性</t>
        </is>
      </c>
    </row>
    <row r="18">
      <c r="A18" s="4" t="inlineStr">
        <is>
          <t>SEC-09 registered shares (mm)</t>
        </is>
      </c>
      <c r="B18" s="4" t="n">
        <v>141.2</v>
      </c>
      <c r="C18" s="4" t="inlineStr">
        <is>
          <t>SEC-09/SEC-16</t>
        </is>
      </c>
      <c r="D18" s="5" t="inlineStr">
        <is>
          <t>不含 unsettled RSUs；交叉参考</t>
        </is>
      </c>
    </row>
    <row r="20">
      <c r="A20" s="10" t="inlineStr">
        <is>
          <t>SEC-02 为账面口径（NTBV），与本次市场法（EV/Revenue）估值口径不同；仅用于独立验算每股账面稀释方向，不进入 Base case 定价结论。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4" customWidth="1" min="3" max="3"/>
  </cols>
  <sheetData>
    <row r="1" ht="22" customHeight="1">
      <c r="A1" s="1" t="inlineStr">
        <is>
          <t>Pricing Summary — 定价处置建议与勾稽一致性（as-of 2024-03-20）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 / Policy</t>
        </is>
      </c>
    </row>
    <row r="4">
      <c r="A4" s="4" t="inlineStr">
        <is>
          <t>主估值方法</t>
        </is>
      </c>
      <c r="B4" s="4" t="inlineStr">
        <is>
          <t>EV / 2024E Revenue</t>
        </is>
      </c>
      <c r="C4" s="4" t="inlineStr">
        <is>
          <t>CP-05（承销口径 EBITDA 仍为负）</t>
        </is>
      </c>
    </row>
    <row r="5">
      <c r="A5" s="4" t="inlineStr">
        <is>
          <t>Underwriting Adj. EBITDA FY2023</t>
        </is>
      </c>
      <c r="B5" s="4" t="n">
        <v>-118.361</v>
      </c>
      <c r="C5" s="4" t="inlineStr">
        <is>
          <t>QoE / CP-03/04</t>
        </is>
      </c>
    </row>
    <row r="6">
      <c r="A6" s="4" t="inlineStr">
        <is>
          <t>2024E Revenue</t>
        </is>
      </c>
      <c r="B6" s="4" t="n">
        <v>980.915</v>
      </c>
      <c r="C6" s="4" t="inlineStr">
        <is>
          <t>CP-06</t>
        </is>
      </c>
    </row>
    <row r="7">
      <c r="A7" s="4" t="inlineStr">
        <is>
          <t>支持区间 Low</t>
        </is>
      </c>
      <c r="B7" s="4" t="n">
        <v>31.2747</v>
      </c>
      <c r="C7" s="4" t="inlineStr">
        <is>
          <t>Valuation</t>
        </is>
      </c>
    </row>
    <row r="8">
      <c r="A8" s="4" t="inlineStr">
        <is>
          <t>支持区间 Mid</t>
        </is>
      </c>
      <c r="B8" s="4" t="n">
        <v>34.2607</v>
      </c>
      <c r="C8" s="4" t="inlineStr">
        <is>
          <t>Valuation</t>
        </is>
      </c>
    </row>
    <row r="9">
      <c r="A9" s="4" t="inlineStr">
        <is>
          <t>支持区间 High</t>
        </is>
      </c>
      <c r="B9" s="4" t="n">
        <v>37.2468</v>
      </c>
      <c r="C9" s="4" t="inlineStr">
        <is>
          <t>Valuation</t>
        </is>
      </c>
    </row>
    <row r="10">
      <c r="A10" s="4" t="inlineStr">
        <is>
          <t>Midpoint</t>
        </is>
      </c>
      <c r="B10" s="4" t="n">
        <v>34.2607</v>
      </c>
      <c r="C10" s="4" t="inlineStr">
        <is>
          <t>Valuation</t>
        </is>
      </c>
    </row>
    <row r="11">
      <c r="A11" s="4" t="inlineStr">
        <is>
          <t>拟议价（决策输入）</t>
        </is>
      </c>
      <c r="B11" s="4" t="n">
        <v>34</v>
      </c>
      <c r="C11" s="4" t="inlineStr">
        <is>
          <t>UW-01（非已实现结果）</t>
        </is>
      </c>
    </row>
    <row r="12">
      <c r="A12" s="4" t="inlineStr">
        <is>
          <t>位于支持区间内</t>
        </is>
      </c>
      <c r="B12" s="4" t="inlineStr">
        <is>
          <t>是</t>
        </is>
      </c>
      <c r="C12" s="4" t="inlineStr">
        <is>
          <t>CP-14</t>
        </is>
      </c>
    </row>
    <row r="13">
      <c r="A13" s="4" t="inlineStr">
        <is>
          <t>距 midpoint</t>
        </is>
      </c>
      <c r="B13" s="4" t="n">
        <v>0.2607</v>
      </c>
      <c r="C13" s="4" t="inlineStr">
        <is>
          <t>阈值 0.50</t>
        </is>
      </c>
    </row>
    <row r="14">
      <c r="A14" s="4" t="inlineStr">
        <is>
          <t>发行结构 hard error 是否已解决</t>
        </is>
      </c>
      <c r="B14" s="4" t="inlineStr">
        <is>
          <t>是（legacy 底稿问题已在 Error_Audit 逐项识别并修正）</t>
        </is>
      </c>
      <c r="C14" s="4" t="inlineStr">
        <is>
          <t>CP-14</t>
        </is>
      </c>
    </row>
    <row r="15">
      <c r="A15" s="4" t="inlineStr">
        <is>
          <t>Base 公司净募集 (mm)</t>
        </is>
      </c>
      <c r="B15" s="4" t="n">
        <v>486.4318</v>
      </c>
      <c r="C15" s="4" t="inlineStr">
        <is>
          <t>Offering_Proceeds</t>
        </is>
      </c>
    </row>
    <row r="16">
      <c r="A16" s="4" t="inlineStr">
        <is>
          <t>Full-exercise 公司净募集 (mm)</t>
        </is>
      </c>
      <c r="B16" s="4" t="n">
        <v>593.0218</v>
      </c>
      <c r="C16" s="4" t="inlineStr">
        <is>
          <t>Offering_Proceeds</t>
        </is>
      </c>
    </row>
    <row r="17">
      <c r="A17" s="4" t="inlineStr">
        <is>
          <t>Base post-money 股数 (mm)</t>
        </is>
      </c>
      <c r="B17" s="4" t="n">
        <v>158.99309</v>
      </c>
      <c r="C17" s="4" t="inlineStr">
        <is>
          <t>Dilution</t>
        </is>
      </c>
    </row>
    <row r="18">
      <c r="A18" s="4" t="inlineStr">
        <is>
          <t>Base 新增占比</t>
        </is>
      </c>
      <c r="B18" s="4" t="inlineStr">
        <is>
          <t>9.61%</t>
        </is>
      </c>
      <c r="C18" s="4" t="inlineStr">
        <is>
          <t>Dilution</t>
        </is>
      </c>
    </row>
    <row r="19">
      <c r="A19" s="4" t="inlineStr">
        <is>
          <t>定价处置建议</t>
        </is>
      </c>
      <c r="B19" s="12" t="inlineStr">
        <is>
          <t>Proceed</t>
        </is>
      </c>
      <c r="C19" s="4" t="inlineStr">
        <is>
          <t>CP-14/15</t>
        </is>
      </c>
    </row>
    <row r="21">
      <c r="A21" s="14" t="inlineStr">
        <is>
          <t>QoE 风险披露（CP-13 强制）：承销口径 Adjusted EBITDA -118.361 与 Free Cash Flow -84.838 均为负；已在备忘录明确披露。</t>
        </is>
      </c>
    </row>
    <row r="23">
      <c r="A23" s="2" t="inlineStr">
        <is>
          <t>勾稽一致性检查（跨模块同一指标口径与数值一致）</t>
        </is>
      </c>
    </row>
    <row r="24">
      <c r="A24" s="3" t="inlineStr">
        <is>
          <t>Check</t>
        </is>
      </c>
      <c r="B24" s="3" t="inlineStr">
        <is>
          <t>PASS/FAIL</t>
        </is>
      </c>
    </row>
    <row r="25">
      <c r="A25" s="4" t="inlineStr">
        <is>
          <t>Valuation.Mid 每股 == Sensitivity base cell</t>
        </is>
      </c>
      <c r="B25" s="12" t="inlineStr">
        <is>
          <t>PASS</t>
        </is>
      </c>
    </row>
    <row r="26">
      <c r="A26" s="4" t="inlineStr">
        <is>
          <t>Pricing_Summary 支持区间 == Valuation 三档</t>
        </is>
      </c>
      <c r="B26" s="12" t="inlineStr">
        <is>
          <t>PASS</t>
        </is>
      </c>
    </row>
    <row r="27">
      <c r="A27" s="4" t="inlineStr">
        <is>
          <t>Offering net == gross − fee − fixed</t>
        </is>
      </c>
      <c r="B27" s="12" t="inlineStr">
        <is>
          <t>PASS</t>
        </is>
      </c>
    </row>
    <row r="28">
      <c r="A28" s="4" t="inlineStr">
        <is>
          <t>Dilution post == pre-money + primary</t>
        </is>
      </c>
      <c r="B28" s="12" t="inlineStr">
        <is>
          <t>PASS</t>
        </is>
      </c>
    </row>
    <row r="29">
      <c r="A29" s="4" t="inlineStr">
        <is>
          <t>QoE 承销 EBITDA == Mgmt − SBC</t>
        </is>
      </c>
      <c r="B29" s="12" t="inlineStr">
        <is>
          <t>PASS</t>
        </is>
      </c>
    </row>
    <row r="30">
      <c r="A30" s="4" t="inlineStr">
        <is>
          <t>净现金桥 == cash + marketable securities</t>
        </is>
      </c>
      <c r="B30" s="12" t="inlineStr">
        <is>
          <t>PASS</t>
        </is>
      </c>
    </row>
    <row r="31">
      <c r="A31" s="4" t="inlineStr">
        <is>
          <t>2024E Rev == 2023A × 1.22</t>
        </is>
      </c>
      <c r="B31" s="12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40" customWidth="1" min="4" max="4"/>
    <col width="30" customWidth="1" min="5" max="5"/>
    <col width="24" customWidth="1" min="6" max="6"/>
    <col width="14" customWidth="1" min="7" max="7"/>
  </cols>
  <sheetData>
    <row r="1" ht="22" customHeight="1">
      <c r="A1" s="1" t="inlineStr">
        <is>
          <t>Error Audit — 上一版工作底稿（legacy/Candidate_Model_v0）问题识别与修正（≥8 类）</t>
        </is>
      </c>
    </row>
    <row r="3">
      <c r="A3" s="3" t="inlineStr">
        <is>
          <t>#</t>
        </is>
      </c>
      <c r="B3" s="3" t="inlineStr">
        <is>
          <t>问题类别</t>
        </is>
      </c>
      <c r="C3" s="3" t="inlineStr">
        <is>
          <t>原有处理（legacy）</t>
        </is>
      </c>
      <c r="D3" s="3" t="inlineStr">
        <is>
          <t>正确处理（模型）</t>
        </is>
      </c>
      <c r="E3" s="3" t="inlineStr">
        <is>
          <t>依据 / 政策条款</t>
        </is>
      </c>
      <c r="F3" s="3" t="inlineStr">
        <is>
          <t>影响</t>
        </is>
      </c>
      <c r="G3" s="3" t="inlineStr">
        <is>
          <t>错误类型</t>
        </is>
      </c>
    </row>
    <row r="4">
      <c r="A4" s="4" t="n">
        <v>1</v>
      </c>
      <c r="B4" s="4" t="inlineStr">
        <is>
          <t>口径/版本错误</t>
        </is>
      </c>
      <c r="C4" s="5" t="inlineStr">
        <is>
          <t>沿用已被取代的 v2 条款（SBC 保留加回、10% 折扣、按全部股份计费）</t>
        </is>
      </c>
      <c r="D4" s="5" t="inlineStr">
        <is>
          <t>改用 v3 CP-03/07/09/12；v2 相关条款作废</t>
        </is>
      </c>
      <c r="E4" s="5" t="inlineStr">
        <is>
          <t>Committee_Policy_v2 Revision_Note；ECM 邮件#1</t>
        </is>
      </c>
      <c r="F4" s="5" t="inlineStr">
        <is>
          <t>折扣/费用/EBITDA 口径全面错配</t>
        </is>
      </c>
      <c r="G4" s="13" t="inlineStr">
        <is>
          <t>政策版本失效引用</t>
        </is>
      </c>
    </row>
    <row r="5">
      <c r="A5" s="4" t="n">
        <v>2</v>
      </c>
      <c r="B5" s="4" t="inlineStr">
        <is>
          <t>重复/错误调整</t>
        </is>
      </c>
      <c r="C5" s="5" t="inlineStr">
        <is>
          <t>以 Management Adj EBITDA -69.275 直接作结论，保留 SBC 加回</t>
        </is>
      </c>
      <c r="D5" s="5" t="inlineStr">
        <is>
          <t>承销口径剔除 SBC 加回：-69.275 − 49.086 = -118.361</t>
        </is>
      </c>
      <c r="E5" s="5" t="inlineStr">
        <is>
          <t>CP-03；SEC-07 MD&amp;A</t>
        </is>
      </c>
      <c r="F5" s="5" t="inlineStr">
        <is>
          <t>EBITDA 高估 49.086mm</t>
        </is>
      </c>
      <c r="G5" s="13" t="inlineStr">
        <is>
          <t>SBC 加回（盈利质量）</t>
        </is>
      </c>
    </row>
    <row r="6">
      <c r="A6" s="4" t="n">
        <v>3</v>
      </c>
      <c r="B6" s="4" t="inlineStr">
        <is>
          <t>重复调整</t>
        </is>
      </c>
      <c r="C6" s="5" t="inlineStr">
        <is>
          <t>重组被视为可再调整项（存在二次加回风险）</t>
        </is>
      </c>
      <c r="D6" s="5" t="inlineStr">
        <is>
          <t>重组已含于管理层调整，承销口径不再二次处理（调整额 0）</t>
        </is>
      </c>
      <c r="E6" s="5" t="inlineStr">
        <is>
          <t>CP-04</t>
        </is>
      </c>
      <c r="F6" s="5" t="inlineStr">
        <is>
          <t>避免重复调整（8.098 仅计一次）</t>
        </is>
      </c>
      <c r="G6" s="13" t="inlineStr">
        <is>
          <t>重组二次加回风险</t>
        </is>
      </c>
    </row>
    <row r="7">
      <c r="A7" s="4" t="n">
        <v>4</v>
      </c>
      <c r="B7" s="4" t="inlineStr">
        <is>
          <t>口径错误</t>
        </is>
      </c>
      <c r="C7" s="5" t="inlineStr">
        <is>
          <t>对 2023A Revenue 直接套用 4.5x（legacy: 2023A revenue）</t>
        </is>
      </c>
      <c r="D7" s="5" t="inlineStr">
        <is>
          <t>分母改为 2024E Revenue = 804.029 × (1+22%) = 980.915</t>
        </is>
      </c>
      <c r="E7" s="5" t="inlineStr">
        <is>
          <t>CP-06</t>
        </is>
      </c>
      <c r="F7" s="5" t="inlineStr">
        <is>
          <t>EV 被低估 796.0mm</t>
        </is>
      </c>
      <c r="G7" s="13" t="inlineStr">
        <is>
          <t>估值分母错误</t>
        </is>
      </c>
    </row>
    <row r="8">
      <c r="A8" s="4" t="n">
        <v>5</v>
      </c>
      <c r="B8" s="4" t="inlineStr">
        <is>
          <t>遗漏项</t>
        </is>
      </c>
      <c r="C8" s="5" t="inlineStr">
        <is>
          <t>仅计入 cash，遗漏 marketable securities</t>
        </is>
      </c>
      <c r="D8" s="5" t="inlineStr">
        <is>
          <t>Pre-money Equity = EV + cash 401.176 + MS 811.946</t>
        </is>
      </c>
      <c r="E8" s="5" t="inlineStr">
        <is>
          <t>CP-08；SEC-07</t>
        </is>
      </c>
      <c r="F8" s="5" t="inlineStr">
        <is>
          <t>每股价值低估约 4.94 USD（折后）</t>
        </is>
      </c>
      <c r="G8" s="13" t="inlineStr">
        <is>
          <t>净现金桥不完整</t>
        </is>
      </c>
    </row>
    <row r="9">
      <c r="A9" s="4" t="n">
        <v>6</v>
      </c>
      <c r="B9" s="4" t="inlineStr">
        <is>
          <t>遗漏/口径</t>
        </is>
      </c>
      <c r="C9" s="5" t="inlineStr">
        <is>
          <t>discount_applied = 0.0，未应用执行折扣</t>
        </is>
      </c>
      <c r="D9" s="5" t="inlineStr">
        <is>
          <t>对 peer-implied 每股价值统一 ×(1−12.5%)（不乘收入/EV）</t>
        </is>
      </c>
      <c r="E9" s="5" t="inlineStr">
        <is>
          <t>CP-09；ECM 邮件#4</t>
        </is>
      </c>
      <c r="F9" s="5" t="inlineStr">
        <is>
          <t>每股价值高估（未折 12.5%）</t>
        </is>
      </c>
      <c r="G9" s="13" t="inlineStr">
        <is>
          <t>执行折扣缺失/口径</t>
        </is>
      </c>
    </row>
    <row r="10">
      <c r="A10" s="4" t="n">
        <v>7</v>
      </c>
      <c r="B10" s="4" t="inlineStr">
        <is>
          <t>结构错误</t>
        </is>
      </c>
      <c r="C10" s="5" t="inlineStr">
        <is>
          <t>把全部 22.0m base 股份视为 primary</t>
        </is>
      </c>
      <c r="D10" s="5" t="inlineStr">
        <is>
          <t>拆分 primary 15.276527 + secondary 6.723473</t>
        </is>
      </c>
      <c r="E10" s="5" t="inlineStr">
        <is>
          <t>CP-10；SEC-03</t>
        </is>
      </c>
      <c r="F10" s="5" t="inlineStr">
        <is>
          <t>公司 gross 高估 228.598mm</t>
        </is>
      </c>
      <c r="G10" s="13" t="inlineStr">
        <is>
          <t>Primary/Secondary 混淆</t>
        </is>
      </c>
    </row>
    <row r="11">
      <c r="A11" s="4" t="n">
        <v>8</v>
      </c>
      <c r="B11" s="4" t="inlineStr">
        <is>
          <t>结构错误</t>
        </is>
      </c>
      <c r="C11" s="5" t="inlineStr">
        <is>
          <t>把 secondary 所得计入公司现金</t>
        </is>
      </c>
      <c r="D11" s="5" t="inlineStr">
        <is>
          <t>secondary 款项归出售股东，公司募集为 0</t>
        </is>
      </c>
      <c r="E11" s="5" t="inlineStr">
        <is>
          <t>SEC-06/12；CP-10</t>
        </is>
      </c>
      <c r="F11" s="5" t="inlineStr">
        <is>
          <t>公司现金高估 228.598mm</t>
        </is>
      </c>
      <c r="G11" s="13" t="inlineStr">
        <is>
          <t>Secondary 款项受益人错误</t>
        </is>
      </c>
    </row>
    <row r="12">
      <c r="A12" s="4" t="n">
        <v>9</v>
      </c>
      <c r="B12" s="4" t="inlineStr">
        <is>
          <t>结构错误</t>
        </is>
      </c>
      <c r="C12" s="5" t="inlineStr">
        <is>
          <t>把 3.3m greenshoe 预设计入 Base（legacy: greenshoe_in_base=1）</t>
        </is>
      </c>
      <c r="D12" s="5" t="inlineStr">
        <is>
          <t>Base 不含 greenshoe；另列 full-exercise 情景</t>
        </is>
      </c>
      <c r="E12" s="5" t="inlineStr">
        <is>
          <t>CP-11；SEC-03</t>
        </is>
      </c>
      <c r="F12" s="5" t="inlineStr">
        <is>
          <t>Base 股数高估 3.3m、gross 高估 112.2mm</t>
        </is>
      </c>
      <c r="G12" s="13" t="inlineStr">
        <is>
          <t>Greenshoe 预设进 Base</t>
        </is>
      </c>
    </row>
    <row r="13">
      <c r="A13" s="4" t="n">
        <v>10</v>
      </c>
      <c r="B13" s="4" t="inlineStr">
        <is>
          <t>口径错误</t>
        </is>
      </c>
      <c r="C13" s="5" t="inlineStr">
        <is>
          <t>按 primary + secondary 全部股份计提承销费（legacy: fee_base=primary+secondary）</t>
        </is>
      </c>
      <c r="D13" s="5" t="inlineStr">
        <is>
          <t>仅按公司 primary gross 计提 5%</t>
        </is>
      </c>
      <c r="E13" s="5" t="inlineStr">
        <is>
          <t>CP-12；SEC-10</t>
        </is>
      </c>
      <c r="F13" s="5" t="inlineStr">
        <is>
          <t>费用高估 11.43mm</t>
        </is>
      </c>
      <c r="G13" s="13" t="inlineStr">
        <is>
          <t>承销费基数错误</t>
        </is>
      </c>
    </row>
    <row r="14">
      <c r="A14" s="4" t="n">
        <v>11</v>
      </c>
      <c r="B14" s="4" t="inlineStr">
        <is>
          <t>口径错误</t>
        </is>
      </c>
      <c r="C14" s="5" t="inlineStr">
        <is>
          <t>把 secondary 计入发行后总股数</t>
        </is>
      </c>
      <c r="D14" s="5" t="inlineStr">
        <is>
          <t>post-money = pre-money + primary（secondary 为转让）</t>
        </is>
      </c>
      <c r="E14" s="5" t="inlineStr">
        <is>
          <t>CP-10；SEC-15</t>
        </is>
      </c>
      <c r="F14" s="5" t="inlineStr">
        <is>
          <t>post-money 高估 6.723473m</t>
        </is>
      </c>
      <c r="G14" s="13" t="inlineStr">
        <is>
          <t>Post-money 股数错误</t>
        </is>
      </c>
    </row>
    <row r="15">
      <c r="A15" s="4" t="n">
        <v>12</v>
      </c>
      <c r="B15" s="4" t="inlineStr">
        <is>
          <t>口径错误</t>
        </is>
      </c>
      <c r="C15" s="5" t="inlineStr">
        <is>
          <t>greenshoe 增量可能重复扣固定费用</t>
        </is>
      </c>
      <c r="D15" s="5" t="inlineStr">
        <is>
          <t>固定 $7.0mm 仅计一次；greenshoe 增量只扣 5% fee</t>
        </is>
      </c>
      <c r="E15" s="5" t="inlineStr">
        <is>
          <t>CP-12</t>
        </is>
      </c>
      <c r="F15" s="5" t="inlineStr">
        <is>
          <t>full-exercise net 被低估 7.0mm</t>
        </is>
      </c>
      <c r="G15" s="13" t="inlineStr">
        <is>
          <t>固定费用重复计提风险</t>
        </is>
      </c>
    </row>
    <row r="16">
      <c r="A16" s="4" t="n">
        <v>13</v>
      </c>
      <c r="B16" s="4" t="inlineStr">
        <is>
          <t>计算错误</t>
        </is>
      </c>
      <c r="C16" s="5" t="inlineStr">
        <is>
          <t>用 post-money equity / pre-money shares</t>
        </is>
      </c>
      <c r="D16" s="5" t="inlineStr">
        <is>
          <t>新增占比 = primary / post-money；SEC-02 仅交叉验算</t>
        </is>
      </c>
      <c r="E16" s="5" t="inlineStr">
        <is>
          <t>Dilution 模块</t>
        </is>
      </c>
      <c r="F16" s="5" t="inlineStr">
        <is>
          <t>稀释率被扭曲</t>
        </is>
      </c>
      <c r="G16" s="13" t="inlineStr">
        <is>
          <t>稀释分子分母不一致</t>
        </is>
      </c>
    </row>
    <row r="17">
      <c r="A17" s="4" t="n">
        <v>14</v>
      </c>
      <c r="B17" s="4" t="inlineStr">
        <is>
          <t>判断错误</t>
        </is>
      </c>
      <c r="C17" s="5" t="inlineStr">
        <is>
          <t>主要依 peer high case 上移至 $34 以上</t>
        </is>
      </c>
      <c r="D17" s="5" t="inlineStr">
        <is>
          <t>按 CP-14/15 护栏：$34 在区间内且距 midpoint $0.26≤$0.50 → Proceed；董事会未授权高于区间上限</t>
        </is>
      </c>
      <c r="E17" s="5" t="inlineStr">
        <is>
          <t>CP-14/15；board_minutes_extract_20240319</t>
        </is>
      </c>
      <c r="F17" s="5" t="inlineStr">
        <is>
          <t>越权/违反护栏</t>
        </is>
      </c>
      <c r="G17" s="13" t="inlineStr">
        <is>
          <t>定价建议依据错误</t>
        </is>
      </c>
    </row>
    <row r="18">
      <c r="A18" s="4" t="n">
        <v>15</v>
      </c>
      <c r="B18" s="4" t="inlineStr">
        <is>
          <t>数据完整性</t>
        </is>
      </c>
      <c r="C18" s="5" t="inlineStr">
        <is>
          <t>Valuation!C7 / QoE!D9 / Offering!C12 为 #REF!，联动失效</t>
        </is>
      </c>
      <c r="D18" s="5" t="inlineStr">
        <is>
          <t>不沿用旧结果，全部从源数据重算</t>
        </is>
      </c>
      <c r="E18" s="5" t="inlineStr">
        <is>
          <t>Candidate_Model_readme；Broken_Links</t>
        </is>
      </c>
      <c r="F18" s="5" t="inlineStr">
        <is>
          <t>旧计算不可用</t>
        </is>
      </c>
      <c r="G18" s="13" t="inlineStr">
        <is>
          <t>模型失效引用</t>
        </is>
      </c>
    </row>
    <row r="20">
      <c r="A20" s="2" t="inlineStr">
        <is>
          <t>共识别 15 类问题（≥8 类要求已满足），全部在修正后模型中重算。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4" customWidth="1" min="4" max="4"/>
    <col width="20" customWidth="1" min="5" max="5"/>
    <col width="40" customWidth="1" min="6" max="6"/>
  </cols>
  <sheetData>
    <row r="1" ht="22" customHeight="1">
      <c r="A1" s="1" t="inlineStr">
        <is>
          <t>Source Trace — 关键指标取数、来源、竞争值与处置结论</t>
        </is>
      </c>
    </row>
    <row r="3">
      <c r="A3" s="3" t="inlineStr">
        <is>
          <t>关键指标</t>
        </is>
      </c>
      <c r="B3" s="3" t="inlineStr">
        <is>
          <t>取值</t>
        </is>
      </c>
      <c r="C3" s="3" t="inlineStr">
        <is>
          <t>采用来源(优先级)</t>
        </is>
      </c>
      <c r="D3" s="3" t="inlineStr">
        <is>
          <t>竞争值</t>
        </is>
      </c>
      <c r="E3" s="3" t="inlineStr">
        <is>
          <t>竞争来源(优先级)</t>
        </is>
      </c>
      <c r="F3" s="3" t="inlineStr">
        <is>
          <t>处置结论</t>
        </is>
      </c>
    </row>
    <row r="4">
      <c r="A4" s="4" t="inlineStr">
        <is>
          <t>FY2023 Revenue</t>
        </is>
      </c>
      <c r="B4" s="4" t="n">
        <v>804.029</v>
      </c>
      <c r="C4" s="5" t="inlineStr">
        <is>
          <t>SEC-01 (P1)</t>
        </is>
      </c>
      <c r="D4" s="5" t="inlineStr">
        <is>
          <t>IR flash 806.2</t>
        </is>
      </c>
      <c r="E4" s="4" t="inlineStr">
        <is>
          <t>INT-01 (P9)</t>
        </is>
      </c>
      <c r="F4" s="5" t="inlineStr">
        <is>
          <t>取 SEC-01；flash 未经审计，仅参考</t>
        </is>
      </c>
    </row>
    <row r="5">
      <c r="A5" s="4" t="inlineStr">
        <is>
          <t>FY2023 Mgmt Adj EBITDA</t>
        </is>
      </c>
      <c r="B5" s="4" t="n">
        <v>-69.27500000000001</v>
      </c>
      <c r="C5" s="5" t="inlineStr">
        <is>
          <t>SEC-01 (P1)</t>
        </is>
      </c>
      <c r="D5" s="5" t="inlineStr">
        <is>
          <t>flash -66.1</t>
        </is>
      </c>
      <c r="E5" s="4" t="inlineStr">
        <is>
          <t>INT-01 (P9)</t>
        </is>
      </c>
      <c r="F5" s="5" t="inlineStr">
        <is>
          <t>取 SEC-01</t>
        </is>
      </c>
    </row>
    <row r="6">
      <c r="A6" s="4" t="inlineStr">
        <is>
          <t>FY2023 SBC &amp; taxes</t>
        </is>
      </c>
      <c r="B6" s="4" t="n">
        <v>49.086</v>
      </c>
      <c r="C6" s="5" t="inlineStr">
        <is>
          <t>SEC-01 (P1)</t>
        </is>
      </c>
      <c r="D6" s="5" t="inlineStr">
        <is>
          <t>flash 47.3</t>
        </is>
      </c>
      <c r="E6" s="4" t="inlineStr">
        <is>
          <t>INT-01 (P9)</t>
        </is>
      </c>
      <c r="F6" s="5" t="inlineStr">
        <is>
          <t>取 SEC-01</t>
        </is>
      </c>
    </row>
    <row r="7">
      <c r="A7" s="4" t="inlineStr">
        <is>
          <t>FY2023 FCF</t>
        </is>
      </c>
      <c r="B7" s="4" t="n">
        <v>-84.83799999999999</v>
      </c>
      <c r="C7" s="5" t="inlineStr">
        <is>
          <t>SEC-01 (P1)</t>
        </is>
      </c>
      <c r="D7" s="5" t="inlineStr">
        <is>
          <t>flash -82.4</t>
        </is>
      </c>
      <c r="E7" s="4" t="inlineStr">
        <is>
          <t>INT-01 (P9)</t>
        </is>
      </c>
      <c r="F7" s="5" t="inlineStr">
        <is>
          <t>取 SEC-01</t>
        </is>
      </c>
    </row>
    <row r="8">
      <c r="A8" s="4" t="inlineStr">
        <is>
          <t>2023-12 月度收入</t>
        </is>
      </c>
      <c r="B8" s="4" t="inlineStr">
        <is>
          <t>68.979 (audited-final)</t>
        </is>
      </c>
      <c r="C8" s="5" t="inlineStr">
        <is>
          <t>SEC-01</t>
        </is>
      </c>
      <c r="D8" s="5" t="inlineStr">
        <is>
          <t>66.5 (unaudited-preliminary)</t>
        </is>
      </c>
      <c r="E8" s="4" t="inlineStr">
        <is>
          <t>INT-01 (P9)</t>
        </is>
      </c>
      <c r="F8" s="5" t="inlineStr">
        <is>
          <t>取审计版；preliminary 残留剔除</t>
        </is>
      </c>
    </row>
    <row r="9">
      <c r="A9" s="4" t="inlineStr">
        <is>
          <t>2022-08 月度收入</t>
        </is>
      </c>
      <c r="B9" s="4" t="inlineStr">
        <is>
          <t>57.1（单条）</t>
        </is>
      </c>
      <c r="C9" s="5" t="inlineStr">
        <is>
          <t>SEC-01</t>
        </is>
      </c>
      <c r="D9" s="5" t="inlineStr">
        <is>
          <t>重复导出 +57.1</t>
        </is>
      </c>
      <c r="E9" s="4" t="inlineStr">
        <is>
          <t>INT-02 (P9)</t>
        </is>
      </c>
      <c r="F9" s="5" t="inlineStr">
        <is>
          <t>去重；duplicate-export 剔除</t>
        </is>
      </c>
    </row>
    <row r="10">
      <c r="A10" s="4" t="inlineStr">
        <is>
          <t>Pre-money shares</t>
        </is>
      </c>
      <c r="B10" s="4" t="n">
        <v>143.716563</v>
      </c>
      <c r="C10" s="5" t="inlineStr">
        <is>
          <t>UW-01 snapshot（SEC-09 各分项）</t>
        </is>
      </c>
      <c r="D10" s="5" t="inlineStr">
        <is>
          <t>registered 141.2</t>
        </is>
      </c>
      <c r="E10" s="4" t="inlineStr">
        <is>
          <t>SEC-09/SEC-16</t>
        </is>
      </c>
      <c r="F10" s="5" t="inlineStr">
        <is>
          <t>估值用 economic shares；registered 仅参考</t>
        </is>
      </c>
    </row>
    <row r="11">
      <c r="A11" s="4" t="inlineStr">
        <is>
          <t>Peer 区间端点</t>
        </is>
      </c>
      <c r="B11" s="4" t="inlineStr">
        <is>
          <t>4.0x–5.0x</t>
        </is>
      </c>
      <c r="C11" s="5" t="inlineStr">
        <is>
          <t>Committee peer set (CP-07/UW-01)</t>
        </is>
      </c>
      <c r="D11" s="5" t="inlineStr">
        <is>
          <t>BANK-A 4.0–5.0 / BANK-B 4.2–5.1</t>
        </is>
      </c>
      <c r="E11" s="4" t="inlineStr">
        <is>
          <t>BANK-A/B (P8)</t>
        </is>
      </c>
      <c r="F11" s="5" t="inlineStr">
        <is>
          <t>以委员会 peer set 为准；承销商 comps 不改端点</t>
        </is>
      </c>
    </row>
    <row r="12">
      <c r="A12" s="4" t="inlineStr">
        <is>
          <t>执行折扣</t>
        </is>
      </c>
      <c r="B12" s="4" t="inlineStr">
        <is>
          <t>12.5%</t>
        </is>
      </c>
      <c r="C12" s="5" t="inlineStr">
        <is>
          <t>CP-09 (UW-01)</t>
        </is>
      </c>
      <c r="D12" s="5" t="inlineStr">
        <is>
          <t>v2 10%（作废）</t>
        </is>
      </c>
      <c r="E12" s="4" t="inlineStr">
        <is>
          <t>Committee_Policy_v2</t>
        </is>
      </c>
      <c r="F12" s="5" t="inlineStr">
        <is>
          <t>以 v3 为准</t>
        </is>
      </c>
    </row>
    <row r="13">
      <c r="A13" s="4" t="inlineStr">
        <is>
          <t>承销费基数</t>
        </is>
      </c>
      <c r="B13" s="4" t="inlineStr">
        <is>
          <t>primary gross 的 5%</t>
        </is>
      </c>
      <c r="C13" s="5" t="inlineStr">
        <is>
          <t>CP-12 / SEC-10</t>
        </is>
      </c>
      <c r="D13" s="5" t="inlineStr">
        <is>
          <t>v2 全部股份（作废）</t>
        </is>
      </c>
      <c r="E13" s="4" t="inlineStr">
        <is>
          <t>Committee_Policy_v2</t>
        </is>
      </c>
      <c r="F13" s="5" t="inlineStr">
        <is>
          <t>以 v3 为准</t>
        </is>
      </c>
    </row>
    <row r="14">
      <c r="A14" s="4" t="inlineStr">
        <is>
          <t>Primary / Secondary</t>
        </is>
      </c>
      <c r="B14" s="4" t="inlineStr">
        <is>
          <t>15.276527 / 6.723473</t>
        </is>
      </c>
      <c r="C14" s="5" t="inlineStr">
        <is>
          <t>SEC-03 (P1)</t>
        </is>
      </c>
      <c r="D14" s="5" t="inlineStr">
        <is>
          <t>legacy 全视为 primary</t>
        </is>
      </c>
      <c r="E14" s="4" t="inlineStr">
        <is>
          <t>INT-02 (P9)</t>
        </is>
      </c>
      <c r="F14" s="5" t="inlineStr">
        <is>
          <t>取 SEC-03</t>
        </is>
      </c>
    </row>
    <row r="15">
      <c r="A15" s="4" t="inlineStr">
        <is>
          <t>Greenshoe</t>
        </is>
      </c>
      <c r="B15" s="4" t="inlineStr">
        <is>
          <t>3.3m（不入 Base）</t>
        </is>
      </c>
      <c r="C15" s="5" t="inlineStr">
        <is>
          <t>SEC-03 / CP-11</t>
        </is>
      </c>
      <c r="D15" s="5" t="inlineStr">
        <is>
          <t>legacy 计入 Base</t>
        </is>
      </c>
      <c r="E15" s="4" t="inlineStr">
        <is>
          <t>INT-02 (P9)</t>
        </is>
      </c>
      <c r="F15" s="5" t="inlineStr">
        <is>
          <t>Base 不含，单列情景</t>
        </is>
      </c>
    </row>
    <row r="16">
      <c r="A16" s="4" t="inlineStr">
        <is>
          <t>净现金桥</t>
        </is>
      </c>
      <c r="B16" s="4" t="n">
        <v>1213.122</v>
      </c>
      <c r="C16" s="5" t="inlineStr">
        <is>
          <t>SEC-01 cash+MS</t>
        </is>
      </c>
      <c r="D16" s="5" t="inlineStr">
        <is>
          <t>legacy 仅 cash</t>
        </is>
      </c>
      <c r="E16" s="4" t="inlineStr">
        <is>
          <t>INT-02 (P9)</t>
        </is>
      </c>
      <c r="F16" s="5" t="inlineStr">
        <is>
          <t>全额计入 cash+MS</t>
        </is>
      </c>
    </row>
    <row r="17">
      <c r="A17" s="4" t="inlineStr">
        <is>
          <t>拟议价 $34</t>
        </is>
      </c>
      <c r="B17" s="4" t="n">
        <v>34</v>
      </c>
      <c r="C17" s="5" t="inlineStr">
        <is>
          <t>UW-01（内部工作价）</t>
        </is>
      </c>
      <c r="D17" s="5" t="inlineStr">
        <is>
          <t>公开区间 $31–$34</t>
        </is>
      </c>
      <c r="E17" s="4" t="inlineStr">
        <is>
          <t>SEC-03</t>
        </is>
      </c>
      <c r="F17" s="5" t="inlineStr">
        <is>
          <t>$34 为决策输入，非已实现结果</t>
        </is>
      </c>
    </row>
    <row r="18">
      <c r="A18" s="4" t="inlineStr">
        <is>
          <t>NTBV/稀释交叉验算</t>
        </is>
      </c>
      <c r="B18" s="4" t="inlineStr">
        <is>
          <t>11.17 / 21.33</t>
        </is>
      </c>
      <c r="C18" s="5" t="inlineStr">
        <is>
          <t>SEC-02 (P1)</t>
        </is>
      </c>
      <c r="D18" s="5" t="inlineStr">
        <is>
          <t>—</t>
        </is>
      </c>
      <c r="E18" s="4" t="inlineStr">
        <is>
          <t>—</t>
        </is>
      </c>
      <c r="F18" s="5" t="inlineStr">
        <is>
          <t>仅 $32.50 口径交叉验算，不进入定价结论</t>
        </is>
      </c>
    </row>
    <row r="20">
      <c r="A20" s="10" t="inlineStr">
        <is>
          <t>UW-01 未列入 sec_filings/Source_Index.csv，但由 legacy 工作簿索引定义为 'Committee_Policy + internal working assumptions'，对应 committee/ 下真实存在的内部假设文件（控制口径目录，00_README）；按 CP-02 作内部假设使用，不包装为公开事实。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2026-10-09T12:40:22Z</dcterms:created>
  <dcterms:modified xmlns:dcterms="http://purl.org/dc/terms/" xmlns:xsi="http://www.w3.org/2001/XMLSchema-instance" xsi:type="dcterms:W3CDTF">2026-10-09T12:40:22Z</dcterms:modified>
</cp:coreProperties>
</file>