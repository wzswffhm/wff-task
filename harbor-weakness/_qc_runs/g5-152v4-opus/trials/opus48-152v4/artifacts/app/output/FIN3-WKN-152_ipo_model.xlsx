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  <sheet xmlns:r="http://schemas.openxmlformats.org/officeDocument/2006/relationships" name="Tieout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1b5e20"/>
      <sz val="12"/>
    </font>
  </fonts>
  <fills count="5">
    <fill>
      <patternFill/>
    </fill>
    <fill>
      <patternFill patternType="gray125"/>
    </fill>
    <fill>
      <patternFill patternType="solid">
        <fgColor rgb="002a7ab0"/>
      </patternFill>
    </fill>
    <fill>
      <patternFill patternType="solid">
        <fgColor rgb="00FFF176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8" customWidth="1" min="3" max="3"/>
    <col width="34" customWidth="1" min="4" max="4"/>
    <col width="37" customWidth="1" min="5" max="5"/>
  </cols>
  <sheetData>
    <row r="1">
      <c r="A1" s="1" t="inlineStr">
        <is>
          <t>Inputs &amp; Control-Basis Parameters (as-of 2024-03-20)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 / Policy</t>
        </is>
      </c>
      <c r="E3" s="2" t="inlineStr">
        <is>
          <t>Note / Reason</t>
        </is>
      </c>
    </row>
    <row r="4">
      <c r="A4" t="inlineStr">
        <is>
          <t>Control policy version</t>
        </is>
      </c>
      <c r="B4" t="inlineStr">
        <is>
          <t>v3 (2024-03-20)</t>
        </is>
      </c>
      <c r="C4" t="inlineStr">
        <is>
          <t>-</t>
        </is>
      </c>
      <c r="D4" t="inlineStr">
        <is>
          <t>committee/Committee_Policy_v3</t>
        </is>
      </c>
      <c r="E4" t="inlineStr">
        <is>
          <t>v2 superseded: CP-03/07/09/12</t>
        </is>
      </c>
    </row>
    <row r="5">
      <c r="A5" t="inlineStr">
        <is>
          <t>2024E revenue growth</t>
        </is>
      </c>
      <c r="B5" t="n">
        <v>0.22</v>
      </c>
      <c r="C5" t="inlineStr">
        <is>
          <t>frac</t>
        </is>
      </c>
      <c r="D5" t="inlineStr">
        <is>
          <t>CP-06 / Underwriting_Assumptions</t>
        </is>
      </c>
      <c r="E5" t="inlineStr">
        <is>
          <t>Internal assumption, NOT SEC fact</t>
        </is>
      </c>
    </row>
    <row r="6">
      <c r="A6" t="inlineStr">
        <is>
          <t>Peer EV/Rev low</t>
        </is>
      </c>
      <c r="B6" t="n">
        <v>4</v>
      </c>
      <c r="C6" t="inlineStr">
        <is>
          <t>x</t>
        </is>
      </c>
      <c r="D6" t="inlineStr">
        <is>
          <t>CP-07 Committee_Peer_Set</t>
        </is>
      </c>
      <c r="E6" t="inlineStr">
        <is>
          <t>Banks are cross-check only</t>
        </is>
      </c>
    </row>
    <row r="7">
      <c r="A7" t="inlineStr">
        <is>
          <t>Peer EV/Rev mid</t>
        </is>
      </c>
      <c r="B7" t="n">
        <v>4.5</v>
      </c>
      <c r="C7" t="inlineStr">
        <is>
          <t>x</t>
        </is>
      </c>
      <c r="D7" t="inlineStr">
        <is>
          <t>CP-07</t>
        </is>
      </c>
      <c r="E7" t="inlineStr">
        <is>
          <t>Range midpoint</t>
        </is>
      </c>
    </row>
    <row r="8">
      <c r="A8" t="inlineStr">
        <is>
          <t>Peer EV/Rev high</t>
        </is>
      </c>
      <c r="B8" t="n">
        <v>5</v>
      </c>
      <c r="C8" t="inlineStr">
        <is>
          <t>x</t>
        </is>
      </c>
      <c r="D8" t="inlineStr">
        <is>
          <t>CP-07</t>
        </is>
      </c>
      <c r="E8" t="inlineStr"/>
    </row>
    <row r="9">
      <c r="A9" t="inlineStr">
        <is>
          <t>IPO execution discount</t>
        </is>
      </c>
      <c r="B9" t="n">
        <v>0.125</v>
      </c>
      <c r="C9" t="inlineStr">
        <is>
          <t>frac</t>
        </is>
      </c>
      <c r="D9" t="inlineStr">
        <is>
          <t>CP-09</t>
        </is>
      </c>
      <c r="E9" t="inlineStr">
        <is>
          <t>v2 10% superseded</t>
        </is>
      </c>
    </row>
    <row r="10">
      <c r="A10" t="inlineStr">
        <is>
          <t>Pre-money economic shares</t>
        </is>
      </c>
      <c r="B10" t="n">
        <v>143.716563</v>
      </c>
      <c r="C10" t="inlineStr">
        <is>
          <t>mm</t>
        </is>
      </c>
      <c r="D10" t="inlineStr">
        <is>
          <t>UW-01 cap snapshot</t>
        </is>
      </c>
      <c r="E10" t="inlineStr">
        <is>
          <t>SEC-09 registered 141.200 differs</t>
        </is>
      </c>
    </row>
    <row r="11">
      <c r="A11" t="inlineStr">
        <is>
          <t>Base primary shares</t>
        </is>
      </c>
      <c r="B11" t="n">
        <v>15.276527</v>
      </c>
      <c r="C11" t="inlineStr">
        <is>
          <t>mm</t>
        </is>
      </c>
      <c r="D11" t="inlineStr">
        <is>
          <t>SEC-03</t>
        </is>
      </c>
      <c r="E11" t="inlineStr"/>
    </row>
    <row r="12">
      <c r="A12" t="inlineStr">
        <is>
          <t>Secondary shares</t>
        </is>
      </c>
      <c r="B12" t="n">
        <v>6.723473</v>
      </c>
      <c r="C12" t="inlineStr">
        <is>
          <t>mm</t>
        </is>
      </c>
      <c r="D12" t="inlineStr">
        <is>
          <t>SEC-03</t>
        </is>
      </c>
      <c r="E12" t="inlineStr">
        <is>
          <t>No company proceeds/shares</t>
        </is>
      </c>
    </row>
    <row r="13">
      <c r="A13" t="inlineStr">
        <is>
          <t>Greenshoe shares</t>
        </is>
      </c>
      <c r="B13" t="n">
        <v>3.3</v>
      </c>
      <c r="C13" t="inlineStr">
        <is>
          <t>mm</t>
        </is>
      </c>
      <c r="D13" t="inlineStr">
        <is>
          <t>SEC-03</t>
        </is>
      </c>
      <c r="E13" t="inlineStr">
        <is>
          <t>Excluded from Base</t>
        </is>
      </c>
    </row>
    <row r="14">
      <c r="A14" t="inlineStr">
        <is>
          <t>Underwriting fee</t>
        </is>
      </c>
      <c r="B14" t="n">
        <v>0.05</v>
      </c>
      <c r="C14" t="inlineStr">
        <is>
          <t>frac</t>
        </is>
      </c>
      <c r="D14" t="inlineStr">
        <is>
          <t>CP-12</t>
        </is>
      </c>
      <c r="E14" t="inlineStr">
        <is>
          <t>On primary gross only</t>
        </is>
      </c>
    </row>
    <row r="15">
      <c r="A15" t="inlineStr">
        <is>
          <t>Fixed company expenses</t>
        </is>
      </c>
      <c r="B15" t="n">
        <v>7</v>
      </c>
      <c r="C15" t="inlineStr">
        <is>
          <t>USD mm</t>
        </is>
      </c>
      <c r="D15" t="inlineStr">
        <is>
          <t>CP-12</t>
        </is>
      </c>
      <c r="E15" t="inlineStr">
        <is>
          <t>Not repeated on greenshoe</t>
        </is>
      </c>
    </row>
    <row r="16">
      <c r="A16" t="inlineStr">
        <is>
          <t>Proposed committee price</t>
        </is>
      </c>
      <c r="B16" t="n">
        <v>34</v>
      </c>
      <c r="C16" t="inlineStr">
        <is>
          <t>USD/sh</t>
        </is>
      </c>
      <c r="D16" t="inlineStr">
        <is>
          <t>UW-01 Offering_Terms</t>
        </is>
      </c>
      <c r="E16" t="inlineStr">
        <is>
          <t>Decision input, not realized result</t>
        </is>
      </c>
    </row>
    <row r="17">
      <c r="A17" t="inlineStr">
        <is>
          <t>Public filing range</t>
        </is>
      </c>
      <c r="B17" t="inlineStr">
        <is>
          <t>$31-$34</t>
        </is>
      </c>
      <c r="C17" t="inlineStr">
        <is>
          <t>USD/sh</t>
        </is>
      </c>
      <c r="D17" t="inlineStr">
        <is>
          <t>SEC-03</t>
        </is>
      </c>
      <c r="E17" t="inlineStr">
        <is>
          <t>Execution cross-check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9" customWidth="1" min="3" max="3"/>
    <col width="46" customWidth="1" min="4" max="4"/>
  </cols>
  <sheetData>
    <row r="1">
      <c r="A1" s="1" t="inlineStr">
        <is>
          <t>Quality of Earnings — 2023A (USD mm)</t>
        </is>
      </c>
    </row>
    <row r="2"/>
    <row r="3">
      <c r="A3" s="2" t="inlineStr">
        <is>
          <t>Line</t>
        </is>
      </c>
      <c r="B3" s="2" t="inlineStr">
        <is>
          <t>Value</t>
        </is>
      </c>
      <c r="C3" s="2" t="inlineStr">
        <is>
          <t>Basis / Policy</t>
        </is>
      </c>
      <c r="D3" s="2" t="inlineStr">
        <is>
          <t>Comment</t>
        </is>
      </c>
    </row>
    <row r="4">
      <c r="A4" t="inlineStr">
        <is>
          <t>Revenue 2023A</t>
        </is>
      </c>
      <c r="B4" t="n">
        <v>804.029</v>
      </c>
      <c r="C4" t="inlineStr">
        <is>
          <t>SEC-01</t>
        </is>
      </c>
      <c r="D4" t="inlineStr">
        <is>
          <t>authoritative</t>
        </is>
      </c>
    </row>
    <row r="5">
      <c r="A5" t="inlineStr">
        <is>
          <t>Net income (loss) 2023A</t>
        </is>
      </c>
      <c r="B5" t="n">
        <v>-90.824</v>
      </c>
      <c r="C5" t="inlineStr">
        <is>
          <t>SEC-01</t>
        </is>
      </c>
      <c r="D5" t="inlineStr"/>
    </row>
    <row r="6">
      <c r="A6" t="inlineStr">
        <is>
          <t>Mgmt Adjusted EBITDA 2023A</t>
        </is>
      </c>
      <c r="B6" t="n">
        <v>-69.27500000000001</v>
      </c>
      <c r="C6" t="inlineStr">
        <is>
          <t>SEC-01 non-GAAP</t>
        </is>
      </c>
      <c r="D6" t="inlineStr">
        <is>
          <t>QoE starting point (CP-03)</t>
        </is>
      </c>
    </row>
    <row r="7">
      <c r="A7" t="inlineStr">
        <is>
          <t>less: SBC &amp; related taxes</t>
        </is>
      </c>
      <c r="B7" t="n">
        <v>-49.086</v>
      </c>
      <c r="C7" t="inlineStr">
        <is>
          <t>CP-03</t>
        </is>
      </c>
      <c r="D7" t="inlineStr">
        <is>
          <t>recurring economic cost; add-back removed</t>
        </is>
      </c>
    </row>
    <row r="8">
      <c r="A8" t="inlineStr">
        <is>
          <t>Restructuring (no re-adjustment)</t>
        </is>
      </c>
      <c r="B8" t="n">
        <v>0</v>
      </c>
      <c r="C8" t="inlineStr">
        <is>
          <t>CP-04</t>
        </is>
      </c>
      <c r="D8" t="inlineStr">
        <is>
          <t>8.098 already in mgmt Adj EBITDA; no double count</t>
        </is>
      </c>
    </row>
    <row r="9">
      <c r="A9">
        <f> Underwriting-basis EBITDA</f>
        <v/>
      </c>
      <c r="B9" t="n">
        <v>-118.361</v>
      </c>
      <c r="C9">
        <f> AdjEBITDA - SBC</f>
        <v/>
      </c>
      <c r="D9" t="inlineStr">
        <is>
          <t>NEGATIVE -&gt; EV/Revenue (CP-05)</t>
        </is>
      </c>
    </row>
    <row r="10">
      <c r="A10" t="inlineStr">
        <is>
          <t>Free cash flow 2023A</t>
        </is>
      </c>
      <c r="B10" t="n">
        <v>-84.83799999999999</v>
      </c>
      <c r="C10" t="inlineStr">
        <is>
          <t>SEC-01</t>
        </is>
      </c>
      <c r="D10" t="inlineStr">
        <is>
          <t>also negative; disclose (CP-13)</t>
        </is>
      </c>
    </row>
    <row r="11">
      <c r="A11" t="inlineStr">
        <is>
          <t>Cash &amp; equivalents 2023A</t>
        </is>
      </c>
      <c r="B11" t="n">
        <v>401.176</v>
      </c>
      <c r="C11" t="inlineStr">
        <is>
          <t>SEC-01</t>
        </is>
      </c>
      <c r="D11" t="inlineStr">
        <is>
          <t>net cash bridge (CP-08)</t>
        </is>
      </c>
    </row>
    <row r="12">
      <c r="A12" t="inlineStr">
        <is>
          <t>Marketable securities 2023A</t>
        </is>
      </c>
      <c r="B12" t="n">
        <v>811.946</v>
      </c>
      <c r="C12" t="inlineStr">
        <is>
          <t>SEC-01</t>
        </is>
      </c>
      <c r="D12" t="inlineStr">
        <is>
          <t>net cash bridge (CP-08)</t>
        </is>
      </c>
    </row>
    <row r="13">
      <c r="A13" t="inlineStr">
        <is>
          <t>Cash + marketable securities</t>
        </is>
      </c>
      <c r="B13" t="n">
        <v>1213.122</v>
      </c>
      <c r="C13" t="inlineStr">
        <is>
          <t>sum</t>
        </is>
      </c>
      <c r="D13">
        <f> 1213.122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7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Valuation — EV/2024E Revenue (CP-05)</t>
        </is>
      </c>
    </row>
    <row r="2"/>
    <row r="3">
      <c r="A3" s="2" t="inlineStr">
        <is>
          <t>Step</t>
        </is>
      </c>
      <c r="B3" s="2" t="inlineStr">
        <is>
          <t>Value</t>
        </is>
      </c>
      <c r="C3" s="2" t="inlineStr">
        <is>
          <t>Formula / Policy</t>
        </is>
      </c>
    </row>
    <row r="4">
      <c r="A4" t="inlineStr">
        <is>
          <t>2023A Revenue</t>
        </is>
      </c>
      <c r="B4" t="n">
        <v>804.029</v>
      </c>
      <c r="C4" t="inlineStr">
        <is>
          <t>SEC-01</t>
        </is>
      </c>
    </row>
    <row r="5">
      <c r="A5" t="inlineStr">
        <is>
          <t>2024E Revenue</t>
        </is>
      </c>
      <c r="B5" t="n">
        <v>980.91538</v>
      </c>
      <c r="C5" t="inlineStr">
        <is>
          <t>804.029 x (1+0.22)  CP-06</t>
        </is>
      </c>
    </row>
    <row r="6">
      <c r="A6" t="inlineStr">
        <is>
          <t>Cash + mkt securities</t>
        </is>
      </c>
      <c r="B6" t="n">
        <v>1213.122</v>
      </c>
      <c r="C6" t="inlineStr">
        <is>
          <t>CP-08 net cash bridge</t>
        </is>
      </c>
    </row>
    <row r="7">
      <c r="A7" t="inlineStr">
        <is>
          <t>Pre-money economic shares</t>
        </is>
      </c>
      <c r="B7" t="n">
        <v>143.716563</v>
      </c>
      <c r="C7" t="inlineStr">
        <is>
          <t>UW-01</t>
        </is>
      </c>
    </row>
    <row r="8">
      <c r="A8" t="inlineStr">
        <is>
          <t>Execution discount</t>
        </is>
      </c>
      <c r="B8" t="n">
        <v>0.125</v>
      </c>
      <c r="C8" t="inlineStr">
        <is>
          <t>CP-09</t>
        </is>
      </c>
    </row>
    <row r="9"/>
    <row r="10"/>
    <row r="11">
      <c r="A11" s="2" t="inlineStr">
        <is>
          <t>Case</t>
        </is>
      </c>
      <c r="B11" s="2" t="inlineStr">
        <is>
          <t>Mult</t>
        </is>
      </c>
      <c r="C11" s="2" t="inlineStr">
        <is>
          <t>EV</t>
        </is>
      </c>
      <c r="D11" s="2" t="inlineStr">
        <is>
          <t>Pre-money equity</t>
        </is>
      </c>
      <c r="E11" s="2" t="inlineStr">
        <is>
          <t>/sh undiscounted</t>
        </is>
      </c>
      <c r="F11" s="2" t="inlineStr">
        <is>
          <t>/sh discounted</t>
        </is>
      </c>
    </row>
    <row r="12">
      <c r="A12" t="inlineStr">
        <is>
          <t>Low</t>
        </is>
      </c>
      <c r="B12" t="n">
        <v>4</v>
      </c>
      <c r="C12" t="n">
        <v>3923.662</v>
      </c>
      <c r="D12" t="n">
        <v>5136.784</v>
      </c>
      <c r="E12" t="n">
        <v>35.7425</v>
      </c>
      <c r="F12" t="n">
        <v>31.2747</v>
      </c>
    </row>
    <row r="13">
      <c r="A13" t="inlineStr">
        <is>
          <t>Mid</t>
        </is>
      </c>
      <c r="B13" t="n">
        <v>4.5</v>
      </c>
      <c r="C13" t="n">
        <v>4414.119</v>
      </c>
      <c r="D13" t="n">
        <v>5627.241</v>
      </c>
      <c r="E13" t="n">
        <v>39.1551</v>
      </c>
      <c r="F13" t="n">
        <v>34.2607</v>
      </c>
    </row>
    <row r="14">
      <c r="A14" t="inlineStr">
        <is>
          <t>High</t>
        </is>
      </c>
      <c r="B14" t="n">
        <v>5</v>
      </c>
      <c r="C14" t="n">
        <v>4904.577</v>
      </c>
      <c r="D14" t="n">
        <v>6117.699</v>
      </c>
      <c r="E14" t="n">
        <v>42.5678</v>
      </c>
      <c r="F14" t="n">
        <v>37.2468</v>
      </c>
    </row>
    <row r="15"/>
    <row r="16">
      <c r="A16" t="inlineStr">
        <is>
          <t>Supported range low/mid/high</t>
        </is>
      </c>
      <c r="B16" t="n">
        <v>31.27</v>
      </c>
      <c r="C16" t="n">
        <v>34.26</v>
      </c>
      <c r="D16" t="n">
        <v>37.25</v>
      </c>
    </row>
    <row r="17">
      <c r="A17" t="inlineStr">
        <is>
          <t>Midpoint</t>
        </is>
      </c>
      <c r="B17" t="n">
        <v>34.26</v>
      </c>
    </row>
    <row r="18">
      <c r="A18" t="inlineStr">
        <is>
          <t>Proposed price</t>
        </is>
      </c>
      <c r="B18" t="n">
        <v>34</v>
      </c>
      <c r="C18" t="inlineStr">
        <is>
          <t>in range: True</t>
        </is>
      </c>
      <c r="D18" t="inlineStr">
        <is>
          <t>dist to mid</t>
        </is>
      </c>
      <c r="E18" t="n">
        <v>0.261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3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Sensitivity — $/share (growth x EV/Revenue)</t>
        </is>
      </c>
    </row>
    <row r="2"/>
    <row r="3">
      <c r="A3" s="2" t="inlineStr">
        <is>
          <t>growth \ mult</t>
        </is>
      </c>
      <c r="B3" s="2" t="inlineStr">
        <is>
          <t>4.0x</t>
        </is>
      </c>
      <c r="C3" s="2" t="inlineStr">
        <is>
          <t>4.3x</t>
        </is>
      </c>
      <c r="D3" s="2" t="inlineStr">
        <is>
          <t>4.5x</t>
        </is>
      </c>
      <c r="E3" s="2" t="inlineStr">
        <is>
          <t>4.8x</t>
        </is>
      </c>
      <c r="F3" s="2" t="inlineStr">
        <is>
          <t>5.0x</t>
        </is>
      </c>
    </row>
    <row r="4">
      <c r="A4" t="inlineStr">
        <is>
          <t>18%</t>
        </is>
      </c>
      <c r="B4" t="n">
        <v>30.49</v>
      </c>
      <c r="C4" t="n">
        <v>32.22</v>
      </c>
      <c r="D4" t="n">
        <v>33.38</v>
      </c>
      <c r="E4" t="n">
        <v>35.11</v>
      </c>
      <c r="F4" t="n">
        <v>36.27</v>
      </c>
    </row>
    <row r="5">
      <c r="A5" t="inlineStr">
        <is>
          <t>20%</t>
        </is>
      </c>
      <c r="B5" t="n">
        <v>30.88</v>
      </c>
      <c r="C5" t="n">
        <v>32.65</v>
      </c>
      <c r="D5" t="n">
        <v>33.82</v>
      </c>
      <c r="E5" t="n">
        <v>35.58</v>
      </c>
      <c r="F5" t="n">
        <v>36.76</v>
      </c>
    </row>
    <row r="6">
      <c r="A6" t="inlineStr">
        <is>
          <t>22%</t>
        </is>
      </c>
      <c r="B6" t="n">
        <v>31.27</v>
      </c>
      <c r="C6" t="n">
        <v>33.07</v>
      </c>
      <c r="D6" s="3" t="n">
        <v>34.26</v>
      </c>
      <c r="E6" t="n">
        <v>36.05</v>
      </c>
      <c r="F6" t="n">
        <v>37.25</v>
      </c>
    </row>
    <row r="7">
      <c r="A7" t="inlineStr">
        <is>
          <t>24%</t>
        </is>
      </c>
      <c r="B7" t="n">
        <v>31.67</v>
      </c>
      <c r="C7" t="n">
        <v>33.49</v>
      </c>
      <c r="D7" t="n">
        <v>34.7</v>
      </c>
      <c r="E7" t="n">
        <v>36.52</v>
      </c>
      <c r="F7" t="n">
        <v>37.74</v>
      </c>
    </row>
    <row r="8">
      <c r="A8" t="inlineStr">
        <is>
          <t>26%</t>
        </is>
      </c>
      <c r="B8" t="n">
        <v>32.06</v>
      </c>
      <c r="C8" t="n">
        <v>33.91</v>
      </c>
      <c r="D8" t="n">
        <v>35.14</v>
      </c>
      <c r="E8" t="n">
        <v>36.99</v>
      </c>
      <c r="F8" t="n">
        <v>38.23</v>
      </c>
    </row>
    <row r="9"/>
    <row r="10">
      <c r="A10" t="inlineStr">
        <is>
          <t>base case = 22% x 4.5x</t>
        </is>
      </c>
      <c r="B10" t="n">
        <v>34.26</v>
      </c>
      <c r="C10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27" customWidth="1" min="4" max="4"/>
  </cols>
  <sheetData>
    <row r="1">
      <c r="A1" s="1" t="inlineStr">
        <is>
          <t>Offering &amp; Proceeds (USD mm)</t>
        </is>
      </c>
    </row>
    <row r="2"/>
    <row r="3">
      <c r="A3" s="2" t="inlineStr">
        <is>
          <t>Component</t>
        </is>
      </c>
      <c r="B3" s="2" t="inlineStr">
        <is>
          <t>Base</t>
        </is>
      </c>
      <c r="C3" s="2" t="inlineStr">
        <is>
          <t>Full greenshoe</t>
        </is>
      </c>
      <c r="D3" s="2" t="inlineStr">
        <is>
          <t>Policy / Note</t>
        </is>
      </c>
    </row>
    <row r="4">
      <c r="A4" t="inlineStr">
        <is>
          <t>Primary shares (mm)</t>
        </is>
      </c>
      <c r="B4" t="n">
        <v>15.276527</v>
      </c>
      <c r="C4" t="n">
        <v>18.576527</v>
      </c>
      <c r="D4" t="inlineStr">
        <is>
          <t>CP-10/CP-11</t>
        </is>
      </c>
    </row>
    <row r="5">
      <c r="A5" t="inlineStr">
        <is>
          <t>Secondary shares (mm)</t>
        </is>
      </c>
      <c r="B5" t="n">
        <v>6.723473</v>
      </c>
      <c r="C5" t="n">
        <v>6.723473</v>
      </c>
      <c r="D5" t="inlineStr">
        <is>
          <t>CP-10 no company proceeds</t>
        </is>
      </c>
    </row>
    <row r="6">
      <c r="A6" t="inlineStr">
        <is>
          <t>Greenshoe shares (mm)</t>
        </is>
      </c>
      <c r="B6" t="n">
        <v>0</v>
      </c>
      <c r="C6" t="n">
        <v>3.3</v>
      </c>
      <c r="D6" t="inlineStr">
        <is>
          <t>CP-11 excluded from Base</t>
        </is>
      </c>
    </row>
    <row r="7">
      <c r="A7" t="inlineStr">
        <is>
          <t>Price (USD/sh)</t>
        </is>
      </c>
      <c r="B7" t="n">
        <v>34</v>
      </c>
      <c r="C7" t="n">
        <v>34</v>
      </c>
      <c r="D7" t="inlineStr">
        <is>
          <t>UW-01</t>
        </is>
      </c>
    </row>
    <row r="8">
      <c r="A8" t="inlineStr">
        <is>
          <t>Primary gross proceeds</t>
        </is>
      </c>
      <c r="B8" t="n">
        <v>519.4019</v>
      </c>
      <c r="C8" t="n">
        <v>631.6019</v>
      </c>
      <c r="D8" t="inlineStr">
        <is>
          <t>primary x price</t>
        </is>
      </c>
    </row>
    <row r="9">
      <c r="A9" t="inlineStr">
        <is>
          <t>less Underwriting fee (5%)</t>
        </is>
      </c>
      <c r="B9" t="n">
        <v>-25.9701</v>
      </c>
      <c r="C9" t="n">
        <v>-31.5801</v>
      </c>
      <c r="D9" t="inlineStr">
        <is>
          <t>CP-12 primary gross only</t>
        </is>
      </c>
    </row>
    <row r="10">
      <c r="A10" t="inlineStr">
        <is>
          <t>less Fixed company expenses</t>
        </is>
      </c>
      <c r="B10" t="n">
        <v>-7</v>
      </c>
      <c r="C10" t="n">
        <v>-7</v>
      </c>
      <c r="D10" t="inlineStr">
        <is>
          <t>CP-12 not repeated</t>
        </is>
      </c>
    </row>
    <row r="11">
      <c r="A11">
        <f> Net primary proceeds</f>
        <v/>
      </c>
      <c r="B11" t="n">
        <v>486.4318</v>
      </c>
      <c r="C11" t="n">
        <v>593.0218</v>
      </c>
      <c r="D11" t="inlineStr">
        <is>
          <t>to company</t>
        </is>
      </c>
    </row>
    <row r="12">
      <c r="A12" t="inlineStr">
        <is>
          <t>Secondary gross (to sellers)</t>
        </is>
      </c>
      <c r="B12" t="n">
        <v>228.5981</v>
      </c>
      <c r="C12" t="n">
        <v>228.5981</v>
      </c>
      <c r="D12" t="inlineStr">
        <is>
          <t>NOT company cash</t>
        </is>
      </c>
    </row>
    <row r="13">
      <c r="A13" t="inlineStr">
        <is>
          <t>Greenshoe increment gross</t>
        </is>
      </c>
      <c r="B13" t="n">
        <v>0</v>
      </c>
      <c r="C13" t="n">
        <v>112.2</v>
      </c>
      <c r="D13" t="inlineStr">
        <is>
          <t>3.3m x price</t>
        </is>
      </c>
    </row>
    <row r="14">
      <c r="A14" t="inlineStr">
        <is>
          <t>Greenshoe increment fee</t>
        </is>
      </c>
      <c r="B14" t="n">
        <v>0</v>
      </c>
      <c r="C14" t="n">
        <v>5.61</v>
      </c>
      <c r="D14" t="inlineStr">
        <is>
          <t>5% only</t>
        </is>
      </c>
    </row>
    <row r="15">
      <c r="A15" t="inlineStr">
        <is>
          <t>Greenshoe increment net</t>
        </is>
      </c>
      <c r="B15" t="n">
        <v>0</v>
      </c>
      <c r="C15" t="n">
        <v>106.59</v>
      </c>
      <c r="D15" t="inlineStr">
        <is>
          <t>no fixed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6" customWidth="1" min="3" max="3"/>
    <col width="43" customWidth="1" min="4" max="4"/>
  </cols>
  <sheetData>
    <row r="1">
      <c r="A1" s="1" t="inlineStr">
        <is>
          <t>Share Bridge &amp; Dilution</t>
        </is>
      </c>
    </row>
    <row r="2"/>
    <row r="3">
      <c r="A3" s="2" t="inlineStr">
        <is>
          <t>Item</t>
        </is>
      </c>
      <c r="B3" s="2" t="inlineStr">
        <is>
          <t>Base</t>
        </is>
      </c>
      <c r="C3" s="2" t="inlineStr">
        <is>
          <t>Full greenshoe</t>
        </is>
      </c>
      <c r="D3" s="2" t="inlineStr">
        <is>
          <t>Note</t>
        </is>
      </c>
    </row>
    <row r="4">
      <c r="A4" t="inlineStr">
        <is>
          <t>Pre-money economic shares</t>
        </is>
      </c>
      <c r="B4" t="n">
        <v>143.716563</v>
      </c>
      <c r="C4" t="n">
        <v>143.716563</v>
      </c>
      <c r="D4" t="inlineStr">
        <is>
          <t>UW-01</t>
        </is>
      </c>
    </row>
    <row r="5">
      <c r="A5" t="inlineStr">
        <is>
          <t>+ Primary issued</t>
        </is>
      </c>
      <c r="B5" t="n">
        <v>15.276527</v>
      </c>
      <c r="C5" t="n">
        <v>18.576527</v>
      </c>
      <c r="D5" t="inlineStr">
        <is>
          <t>new issuance</t>
        </is>
      </c>
    </row>
    <row r="6">
      <c r="A6" t="inlineStr">
        <is>
          <t>+ Secondary</t>
        </is>
      </c>
      <c r="B6" t="n">
        <v>0</v>
      </c>
      <c r="C6" t="n">
        <v>0</v>
      </c>
      <c r="D6" t="inlineStr">
        <is>
          <t>CP-10 transfer, NOT added</t>
        </is>
      </c>
    </row>
    <row r="7">
      <c r="A7">
        <f> Post-money shares</f>
        <v/>
      </c>
      <c r="B7" t="n">
        <v>158.99309</v>
      </c>
      <c r="C7" t="n">
        <v>162.29309</v>
      </c>
      <c r="D7" t="inlineStr">
        <is>
          <t>primary only</t>
        </is>
      </c>
    </row>
    <row r="8">
      <c r="A8" t="inlineStr">
        <is>
          <t>New-share %</t>
        </is>
      </c>
      <c r="B8" t="n">
        <v>9.6083</v>
      </c>
      <c r="C8" t="n">
        <v>11.4463</v>
      </c>
      <c r="D8" t="inlineStr">
        <is>
          <t>primary / post-money</t>
        </is>
      </c>
    </row>
    <row r="9"/>
    <row r="10">
      <c r="A10" t="inlineStr">
        <is>
          <t>Crosscheck (SEC-02 @ $32.50):</t>
        </is>
      </c>
      <c r="B10" t="inlineStr">
        <is>
          <t>NTBV/sh 11.17</t>
        </is>
      </c>
      <c r="C10" t="inlineStr">
        <is>
          <t>immediate dilution 21.33</t>
        </is>
      </c>
      <c r="D10" t="inlineStr">
        <is>
          <t>crosscheck only; not used for $34 pricing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4" customWidth="1" min="3" max="3"/>
  </cols>
  <sheetData>
    <row r="1">
      <c r="A1" s="1" t="inlineStr">
        <is>
          <t>Pricing Summary &amp; Decision</t>
        </is>
      </c>
    </row>
    <row r="2"/>
    <row r="3">
      <c r="A3" s="2" t="inlineStr">
        <is>
          <t>Item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Supported low</t>
        </is>
      </c>
      <c r="B4" t="n">
        <v>31.27</v>
      </c>
      <c r="C4" t="inlineStr">
        <is>
          <t>4.0x</t>
        </is>
      </c>
    </row>
    <row r="5">
      <c r="A5" t="inlineStr">
        <is>
          <t>Supported mid (midpoint)</t>
        </is>
      </c>
      <c r="B5" t="n">
        <v>34.26</v>
      </c>
      <c r="C5" t="inlineStr">
        <is>
          <t>4.5x</t>
        </is>
      </c>
    </row>
    <row r="6">
      <c r="A6" t="inlineStr">
        <is>
          <t>Supported high</t>
        </is>
      </c>
      <c r="B6" t="n">
        <v>37.25</v>
      </c>
      <c r="C6" t="inlineStr">
        <is>
          <t>5.0x</t>
        </is>
      </c>
    </row>
    <row r="7">
      <c r="A7" t="inlineStr">
        <is>
          <t>Proposed price</t>
        </is>
      </c>
      <c r="B7" t="n">
        <v>34</v>
      </c>
      <c r="C7" t="inlineStr">
        <is>
          <t>UW-01</t>
        </is>
      </c>
    </row>
    <row r="8">
      <c r="A8" t="inlineStr">
        <is>
          <t>In supported range?</t>
        </is>
      </c>
      <c r="B8" t="inlineStr">
        <is>
          <t>True</t>
        </is>
      </c>
      <c r="C8" t="inlineStr">
        <is>
          <t>CP-14</t>
        </is>
      </c>
    </row>
    <row r="9">
      <c r="A9" t="inlineStr">
        <is>
          <t>Distance to midpoint</t>
        </is>
      </c>
      <c r="B9" t="n">
        <v>0.261</v>
      </c>
      <c r="C9" t="inlineStr">
        <is>
          <t>&lt;= 0.50 threshold</t>
        </is>
      </c>
    </row>
    <row r="10">
      <c r="A10" t="inlineStr">
        <is>
          <t>Underwriting EBITDA</t>
        </is>
      </c>
      <c r="B10" t="n">
        <v>-118.361</v>
      </c>
      <c r="C10" t="inlineStr">
        <is>
          <t>negative (QoE risk, CP-13)</t>
        </is>
      </c>
    </row>
    <row r="11">
      <c r="A11" t="inlineStr">
        <is>
          <t>Free cash flow 2023A</t>
        </is>
      </c>
      <c r="B11" t="n">
        <v>-84.83799999999999</v>
      </c>
      <c r="C11" t="inlineStr">
        <is>
          <t>negative (QoE risk)</t>
        </is>
      </c>
    </row>
    <row r="12">
      <c r="A12" t="inlineStr">
        <is>
          <t>Unresolved hard errors</t>
        </is>
      </c>
      <c r="B12" t="inlineStr">
        <is>
          <t>0</t>
        </is>
      </c>
      <c r="C12" t="inlineStr">
        <is>
          <t>all legacy errors corrected</t>
        </is>
      </c>
    </row>
    <row r="13">
      <c r="A13" t="inlineStr">
        <is>
          <t>DECISION</t>
        </is>
      </c>
      <c r="B13" s="4" t="inlineStr">
        <is>
          <t>Proceed</t>
        </is>
      </c>
      <c r="C13" t="inlineStr">
        <is>
          <t>CP-14: in range, dist&lt;=0.50, no hard error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46" customWidth="1" min="3" max="3"/>
    <col width="46" customWidth="1" min="4" max="4"/>
    <col width="36" customWidth="1" min="5" max="5"/>
  </cols>
  <sheetData>
    <row r="1">
      <c r="A1" s="1" t="inlineStr">
        <is>
          <t>Legacy Workpaper Error Audit (Candidate_Model_v0)</t>
        </is>
      </c>
    </row>
    <row r="2"/>
    <row r="3">
      <c r="A3" s="2" t="inlineStr">
        <is>
          <t>#</t>
        </is>
      </c>
      <c r="B3" s="2" t="inlineStr">
        <is>
          <t>Category</t>
        </is>
      </c>
      <c r="C3" s="2" t="inlineStr">
        <is>
          <t>Legacy treatment</t>
        </is>
      </c>
      <c r="D3" s="2" t="inlineStr">
        <is>
          <t>Correct treatment</t>
        </is>
      </c>
      <c r="E3" s="2" t="inlineStr">
        <is>
          <t>Impact</t>
        </is>
      </c>
    </row>
    <row r="4">
      <c r="A4" t="n">
        <v>1</v>
      </c>
      <c r="B4" t="inlineStr">
        <is>
          <t>QoE basis</t>
        </is>
      </c>
      <c r="C4" t="inlineStr">
        <is>
          <t>Used mgmt Adj EBITDA -69.275 as conclusion</t>
        </is>
      </c>
      <c r="D4" t="inlineStr">
        <is>
          <t>Remove SBC add-back -&gt; UW EBITDA -118.361 (CP-03)</t>
        </is>
      </c>
      <c r="E4" t="inlineStr">
        <is>
          <t>Overstated profitability by 49.086</t>
        </is>
      </c>
    </row>
    <row r="5">
      <c r="A5" t="n">
        <v>2</v>
      </c>
      <c r="B5" t="inlineStr">
        <is>
          <t>Valuation denominator</t>
        </is>
      </c>
      <c r="C5" t="inlineStr">
        <is>
          <t>Applied 4.5x to 2023A revenue</t>
        </is>
      </c>
      <c r="D5" t="inlineStr">
        <is>
          <t>Use 2024E revenue 980.915 (CP-06)</t>
        </is>
      </c>
      <c r="E5" t="inlineStr">
        <is>
          <t>Understated EV ~22%</t>
        </is>
      </c>
    </row>
    <row r="6">
      <c r="A6" t="n">
        <v>3</v>
      </c>
      <c r="B6" t="inlineStr">
        <is>
          <t>Net cash bridge</t>
        </is>
      </c>
      <c r="C6" t="inlineStr">
        <is>
          <t>Excluded marketable securities</t>
        </is>
      </c>
      <c r="D6" t="inlineStr">
        <is>
          <t>Add cash+mkt sec 1213.122 (CP-08)</t>
        </is>
      </c>
      <c r="E6" t="inlineStr">
        <is>
          <t>Understated equity by 811.946</t>
        </is>
      </c>
    </row>
    <row r="7">
      <c r="A7" t="n">
        <v>4</v>
      </c>
      <c r="B7" t="inlineStr">
        <is>
          <t>Primary/secondary</t>
        </is>
      </c>
      <c r="C7" t="inlineStr">
        <is>
          <t>Treated all 22.0m base shares as primary</t>
        </is>
      </c>
      <c r="D7" t="inlineStr">
        <is>
          <t>Primary only 15.276527 (CP-10)</t>
        </is>
      </c>
      <c r="E7" t="inlineStr">
        <is>
          <t>Overstated company gross proceeds</t>
        </is>
      </c>
    </row>
    <row r="8">
      <c r="A8" t="n">
        <v>5</v>
      </c>
      <c r="B8" t="inlineStr">
        <is>
          <t>Greenshoe</t>
        </is>
      </c>
      <c r="C8" t="inlineStr">
        <is>
          <t>Included 3.3m in Base</t>
        </is>
      </c>
      <c r="D8" t="inlineStr">
        <is>
          <t>Exclude from Base; separate full case (CP-11)</t>
        </is>
      </c>
      <c r="E8" t="inlineStr">
        <is>
          <t>Overstated base issuance</t>
        </is>
      </c>
    </row>
    <row r="9">
      <c r="A9" t="n">
        <v>6</v>
      </c>
      <c r="B9" t="inlineStr">
        <is>
          <t>Fee base</t>
        </is>
      </c>
      <c r="C9" t="inlineStr">
        <is>
          <t>Fee on primary+secondary</t>
        </is>
      </c>
      <c r="D9" t="inlineStr">
        <is>
          <t>Fee on primary gross only (CP-12)</t>
        </is>
      </c>
      <c r="E9" t="inlineStr">
        <is>
          <t>Overstated fees ~11.4</t>
        </is>
      </c>
    </row>
    <row r="10">
      <c r="A10" t="n">
        <v>7</v>
      </c>
      <c r="B10" t="inlineStr">
        <is>
          <t>Post-money shares</t>
        </is>
      </c>
      <c r="C10" t="inlineStr">
        <is>
          <t>Added secondary to share count</t>
        </is>
      </c>
      <c r="D10" t="inlineStr">
        <is>
          <t>Secondary is transfer; exclude (CP-10)</t>
        </is>
      </c>
      <c r="E10" t="inlineStr">
        <is>
          <t>Overstated share count 6.72m</t>
        </is>
      </c>
    </row>
    <row r="11">
      <c r="A11" t="n">
        <v>8</v>
      </c>
      <c r="B11" t="inlineStr">
        <is>
          <t>Proceeds beneficiary</t>
        </is>
      </c>
      <c r="C11" t="inlineStr">
        <is>
          <t>Added secondary proceeds to company cash</t>
        </is>
      </c>
      <c r="D11" t="inlineStr">
        <is>
          <t>Secondary to selling holders (CP-10)</t>
        </is>
      </c>
      <c r="E11" t="inlineStr">
        <is>
          <t>Overstated company cash 228.6</t>
        </is>
      </c>
    </row>
    <row r="12">
      <c r="A12" t="n">
        <v>9</v>
      </c>
      <c r="B12" t="inlineStr">
        <is>
          <t>Dilution consistency</t>
        </is>
      </c>
      <c r="C12" t="inlineStr">
        <is>
          <t>post-money equity / pre-money shares</t>
        </is>
      </c>
      <c r="D12" t="inlineStr">
        <is>
          <t>Consistent numerator/denominator basis</t>
        </is>
      </c>
      <c r="E12" t="inlineStr">
        <is>
          <t>Inconsistent dilution metric</t>
        </is>
      </c>
    </row>
    <row r="13">
      <c r="A13" t="n">
        <v>10</v>
      </c>
      <c r="B13" t="inlineStr">
        <is>
          <t>Pricing logic</t>
        </is>
      </c>
      <c r="C13" t="inlineStr">
        <is>
          <t>Moved above $34 on peer-high case</t>
        </is>
      </c>
      <c r="D13" t="inlineStr">
        <is>
          <t>Use committee range+QoE guardrails (CP-07/14)</t>
        </is>
      </c>
      <c r="E13" t="inlineStr">
        <is>
          <t>Mispriced vs guardrails</t>
        </is>
      </c>
    </row>
    <row r="14">
      <c r="A14" t="n">
        <v>11</v>
      </c>
      <c r="B14" t="inlineStr">
        <is>
          <t>Broken links</t>
        </is>
      </c>
      <c r="C14" t="inlineStr">
        <is>
          <t>#REF! cells (Valuation!C7, QoE!D9, Offering!C12)</t>
        </is>
      </c>
      <c r="D14" t="inlineStr">
        <is>
          <t>Recomputed all linkages from inputs</t>
        </is>
      </c>
      <c r="E14" t="inlineStr">
        <is>
          <t>Stale/failed linkages</t>
        </is>
      </c>
    </row>
    <row r="15">
      <c r="A15" t="n">
        <v>12</v>
      </c>
      <c r="B15" t="inlineStr">
        <is>
          <t>Policy version</t>
        </is>
      </c>
      <c r="C15" t="inlineStr">
        <is>
          <t>Used v2 params (10% disc, 3.5-5.5x, fee incl secondary)</t>
        </is>
      </c>
      <c r="D15" t="inlineStr">
        <is>
          <t>Use v3 (12.5%, 4.0-5.0x, primary-only)</t>
        </is>
      </c>
      <c r="E15" t="inlineStr">
        <is>
          <t>Wrong control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2" customWidth="1" min="3" max="3"/>
    <col width="44" customWidth="1" min="4" max="4"/>
    <col width="46" customWidth="1" min="5" max="5"/>
  </cols>
  <sheetData>
    <row r="1">
      <c r="A1" s="1" t="inlineStr">
        <is>
          <t>Source Trace</t>
        </is>
      </c>
    </row>
    <row r="2"/>
    <row r="3">
      <c r="A3" s="2" t="inlineStr">
        <is>
          <t>metric</t>
        </is>
      </c>
      <c r="B3" s="2" t="inlineStr">
        <is>
          <t>adopted_value</t>
        </is>
      </c>
      <c r="C3" s="2" t="inlineStr">
        <is>
          <t>source_adopted</t>
        </is>
      </c>
      <c r="D3" s="2" t="inlineStr">
        <is>
          <t>competing_value_source</t>
        </is>
      </c>
      <c r="E3" s="2" t="inlineStr">
        <is>
          <t>disposition</t>
        </is>
      </c>
    </row>
    <row r="4">
      <c r="A4" t="inlineStr">
        <is>
          <t>Revenue 2023A</t>
        </is>
      </c>
      <c r="B4" t="inlineStr">
        <is>
          <t>804.029</t>
        </is>
      </c>
      <c r="C4" t="inlineStr">
        <is>
          <t>SEC-01 (P1)</t>
        </is>
      </c>
      <c r="D4" t="inlineStr">
        <is>
          <t>monthly INT-01 66.5; segment Other 152.470</t>
        </is>
      </c>
      <c r="E4" t="inlineStr">
        <is>
          <t>Use SEC-01; reject INT-01 &amp; bad segment Other (CP-02)</t>
        </is>
      </c>
    </row>
    <row r="5">
      <c r="A5" t="inlineStr">
        <is>
          <t>Revenue 2022A</t>
        </is>
      </c>
      <c r="B5" t="inlineStr">
        <is>
          <t>666.701</t>
        </is>
      </c>
      <c r="C5" t="inlineStr">
        <is>
          <t>SEC-01 (P1)</t>
        </is>
      </c>
      <c r="D5" t="inlineStr">
        <is>
          <t>monthly dup 2022-08</t>
        </is>
      </c>
      <c r="E5" t="inlineStr">
        <is>
          <t>Dedup; SEC-01 authoritative</t>
        </is>
      </c>
    </row>
    <row r="6">
      <c r="A6" t="inlineStr">
        <is>
          <t>Net income (loss) 2023A</t>
        </is>
      </c>
      <c r="B6" t="inlineStr">
        <is>
          <t>-90.824</t>
        </is>
      </c>
      <c r="C6" t="inlineStr">
        <is>
          <t>SEC-01 (P1)</t>
        </is>
      </c>
      <c r="D6" t="inlineStr">
        <is>
          <t>-</t>
        </is>
      </c>
      <c r="E6" t="inlineStr">
        <is>
          <t>Used as disclosed</t>
        </is>
      </c>
    </row>
    <row r="7">
      <c r="A7" t="inlineStr">
        <is>
          <t>Mgmt Adjusted EBITDA 2023A</t>
        </is>
      </c>
      <c r="B7" t="inlineStr">
        <is>
          <t>-69.275</t>
        </is>
      </c>
      <c r="C7" t="inlineStr">
        <is>
          <t>SEC-01 (P1)</t>
        </is>
      </c>
      <c r="D7" t="inlineStr">
        <is>
          <t>-</t>
        </is>
      </c>
      <c r="E7" t="inlineStr">
        <is>
          <t>QoE starting point (CP-03)</t>
        </is>
      </c>
    </row>
    <row r="8">
      <c r="A8" t="inlineStr">
        <is>
          <t>SBC &amp; related taxes 2023A</t>
        </is>
      </c>
      <c r="B8" t="inlineStr">
        <is>
          <t>49.086</t>
        </is>
      </c>
      <c r="C8" t="inlineStr">
        <is>
          <t>SEC-01 (P1)</t>
        </is>
      </c>
      <c r="D8" t="inlineStr">
        <is>
          <t>sbc_detail TOTAL row 49.680</t>
        </is>
      </c>
      <c r="E8" t="inlineStr">
        <is>
          <t>Use component sum=SEC-01; reject TOTAL row</t>
        </is>
      </c>
    </row>
    <row r="9">
      <c r="A9" t="inlineStr">
        <is>
          <t>Restructuring 2023A</t>
        </is>
      </c>
      <c r="B9" t="inlineStr">
        <is>
          <t>8.098</t>
        </is>
      </c>
      <c r="C9" t="inlineStr">
        <is>
          <t>SEC-01 (P1)</t>
        </is>
      </c>
      <c r="D9" t="inlineStr">
        <is>
          <t>-</t>
        </is>
      </c>
      <c r="E9" t="inlineStr">
        <is>
          <t>Not re-added (CP-04)</t>
        </is>
      </c>
    </row>
    <row r="10">
      <c r="A10" t="inlineStr">
        <is>
          <t>Underwriting EBITDA 2023A</t>
        </is>
      </c>
      <c r="B10" t="inlineStr">
        <is>
          <t>-118.361</t>
        </is>
      </c>
      <c r="C10" t="inlineStr">
        <is>
          <t>Derived CP-03</t>
        </is>
      </c>
      <c r="D10" t="inlineStr">
        <is>
          <t>-</t>
        </is>
      </c>
      <c r="E10">
        <f> AdjEBITDA - SBC; negative</f>
        <v/>
      </c>
    </row>
    <row r="11">
      <c r="A11" t="inlineStr">
        <is>
          <t>Free cash flow 2023A</t>
        </is>
      </c>
      <c r="B11" t="inlineStr">
        <is>
          <t>-84.838</t>
        </is>
      </c>
      <c r="C11" t="inlineStr">
        <is>
          <t>SEC-01 (P1)</t>
        </is>
      </c>
      <c r="D11" t="inlineStr">
        <is>
          <t>fcf_bridge ties</t>
        </is>
      </c>
      <c r="E11" t="inlineStr">
        <is>
          <t>Disclose QoE risk (CP-13)</t>
        </is>
      </c>
    </row>
    <row r="12">
      <c r="A12" t="inlineStr">
        <is>
          <t>Cash &amp; equivalents 2023A</t>
        </is>
      </c>
      <c r="B12" t="inlineStr">
        <is>
          <t>401.176</t>
        </is>
      </c>
      <c r="C12" t="inlineStr">
        <is>
          <t>SEC-01 (P1)</t>
        </is>
      </c>
      <c r="D12" t="inlineStr">
        <is>
          <t>-</t>
        </is>
      </c>
      <c r="E12" t="inlineStr">
        <is>
          <t>Net cash bridge (CP-08)</t>
        </is>
      </c>
    </row>
    <row r="13">
      <c r="A13" t="inlineStr">
        <is>
          <t>Marketable securities 2023A</t>
        </is>
      </c>
      <c r="B13" t="inlineStr">
        <is>
          <t>811.946</t>
        </is>
      </c>
      <c r="C13" t="inlineStr">
        <is>
          <t>SEC-01 (P1)</t>
        </is>
      </c>
      <c r="D13" t="inlineStr">
        <is>
          <t>-</t>
        </is>
      </c>
      <c r="E13" t="inlineStr">
        <is>
          <t>Net cash bridge (CP-08)</t>
        </is>
      </c>
    </row>
    <row r="14">
      <c r="A14" t="inlineStr">
        <is>
          <t>2024E growth</t>
        </is>
      </c>
      <c r="B14" t="inlineStr">
        <is>
          <t>22%</t>
        </is>
      </c>
      <c r="C14" t="inlineStr">
        <is>
          <t>Underwriting_Assumptions CP-06</t>
        </is>
      </c>
      <c r="D14" t="inlineStr">
        <is>
          <t>sellside notes vary</t>
        </is>
      </c>
      <c r="E14" t="inlineStr">
        <is>
          <t>Internal assumption, not SEC fact</t>
        </is>
      </c>
    </row>
    <row r="15">
      <c r="A15" t="inlineStr">
        <is>
          <t>Peer EV/Rev range</t>
        </is>
      </c>
      <c r="B15" t="inlineStr">
        <is>
          <t>4.0x/4.5x/5.0x</t>
        </is>
      </c>
      <c r="C15" t="inlineStr">
        <is>
          <t>Committee_Peer_Set CP-07</t>
        </is>
      </c>
      <c r="D15" t="inlineStr">
        <is>
          <t>BANK-A 4.0-5.0; BANK-B 4.2-5.1</t>
        </is>
      </c>
      <c r="E15" t="inlineStr">
        <is>
          <t>Use committee set; banks cross-check only</t>
        </is>
      </c>
    </row>
    <row r="16">
      <c r="A16" t="inlineStr">
        <is>
          <t>IPO execution discount</t>
        </is>
      </c>
      <c r="B16" t="inlineStr">
        <is>
          <t>12.5%</t>
        </is>
      </c>
      <c r="C16" t="inlineStr">
        <is>
          <t>Underwriting_Assumptions CP-09</t>
        </is>
      </c>
      <c r="D16" t="inlineStr">
        <is>
          <t>v2 10% (superseded)</t>
        </is>
      </c>
      <c r="E16" t="inlineStr">
        <is>
          <t>Use v3 12.5%</t>
        </is>
      </c>
    </row>
    <row r="17">
      <c r="A17" t="inlineStr">
        <is>
          <t>Pre-money economic shares</t>
        </is>
      </c>
      <c r="B17" t="inlineStr">
        <is>
          <t>143.716563</t>
        </is>
      </c>
      <c r="C17" t="inlineStr">
        <is>
          <t>UW-01 cap snapshot</t>
        </is>
      </c>
      <c r="D17" t="inlineStr">
        <is>
          <t>SEC-09 registered 141.200</t>
        </is>
      </c>
      <c r="E17" t="inlineStr">
        <is>
          <t>Economic basis for valuation; definition diff</t>
        </is>
      </c>
    </row>
    <row r="18">
      <c r="A18" t="inlineStr">
        <is>
          <t>Base primary shares</t>
        </is>
      </c>
      <c r="B18" t="inlineStr">
        <is>
          <t>15.276527</t>
        </is>
      </c>
      <c r="C18" t="inlineStr">
        <is>
          <t>SEC-03 (P1)</t>
        </is>
      </c>
      <c r="D18" t="inlineStr">
        <is>
          <t>-</t>
        </is>
      </c>
      <c r="E18" t="inlineStr">
        <is>
          <t>Company issuance</t>
        </is>
      </c>
    </row>
    <row r="19">
      <c r="A19" t="inlineStr">
        <is>
          <t>Secondary shares</t>
        </is>
      </c>
      <c r="B19" t="inlineStr">
        <is>
          <t>6.723473</t>
        </is>
      </c>
      <c r="C19" t="inlineStr">
        <is>
          <t>SEC-03 (P1)</t>
        </is>
      </c>
      <c r="D19" t="inlineStr">
        <is>
          <t>-</t>
        </is>
      </c>
      <c r="E19" t="inlineStr">
        <is>
          <t>No company proceeds/shares (CP-10)</t>
        </is>
      </c>
    </row>
    <row r="20">
      <c r="A20" t="inlineStr">
        <is>
          <t>Greenshoe</t>
        </is>
      </c>
      <c r="B20" t="inlineStr">
        <is>
          <t>3.300000</t>
        </is>
      </c>
      <c r="C20" t="inlineStr">
        <is>
          <t>SEC-03 (P1)</t>
        </is>
      </c>
      <c r="D20" t="inlineStr">
        <is>
          <t>-</t>
        </is>
      </c>
      <c r="E20" t="inlineStr">
        <is>
          <t>Excluded from Base (CP-11)</t>
        </is>
      </c>
    </row>
    <row r="21">
      <c r="A21" t="inlineStr">
        <is>
          <t>Underwriting fee basis</t>
        </is>
      </c>
      <c r="B21" t="inlineStr">
        <is>
          <t>5% primary gross</t>
        </is>
      </c>
      <c r="C21" t="inlineStr">
        <is>
          <t>Offering_Terms CP-12</t>
        </is>
      </c>
      <c r="D21" t="inlineStr">
        <is>
          <t>v2 primary+secondary (superseded)</t>
        </is>
      </c>
      <c r="E21" t="inlineStr">
        <is>
          <t>Primary gross only</t>
        </is>
      </c>
    </row>
    <row r="22">
      <c r="A22" t="inlineStr">
        <is>
          <t>Fixed company expenses</t>
        </is>
      </c>
      <c r="B22" t="inlineStr">
        <is>
          <t>7.000</t>
        </is>
      </c>
      <c r="C22" t="inlineStr">
        <is>
          <t>Offering_Terms CP-12</t>
        </is>
      </c>
      <c r="D22" t="inlineStr">
        <is>
          <t>-</t>
        </is>
      </c>
      <c r="E22" t="inlineStr">
        <is>
          <t>Not repeated on greenshoe</t>
        </is>
      </c>
    </row>
    <row r="23">
      <c r="A23" t="inlineStr">
        <is>
          <t>Proposed price</t>
        </is>
      </c>
      <c r="B23" t="inlineStr">
        <is>
          <t>34.00</t>
        </is>
      </c>
      <c r="C23" t="inlineStr">
        <is>
          <t>UW-01 Offering_Terms</t>
        </is>
      </c>
      <c r="D23" t="inlineStr">
        <is>
          <t>public range $31-$34 SEC-03</t>
        </is>
      </c>
      <c r="E23" t="inlineStr">
        <is>
          <t>Decision input, not realized result</t>
        </is>
      </c>
    </row>
    <row r="24">
      <c r="A24" t="inlineStr">
        <is>
          <t>Dilution crosscheck</t>
        </is>
      </c>
      <c r="B24" t="inlineStr">
        <is>
          <t>NTBV 11.17 / dil 21.33 @ $32.50</t>
        </is>
      </c>
      <c r="C24" t="inlineStr">
        <is>
          <t>SEC-02 (P1)</t>
        </is>
      </c>
      <c r="D24" t="inlineStr">
        <is>
          <t>-</t>
        </is>
      </c>
      <c r="E24" t="inlineStr">
        <is>
          <t>Crosscheck only; not for $34 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9" customWidth="1" min="4" max="4"/>
    <col width="46" customWidth="1" min="5" max="5"/>
    <col width="46" customWidth="1" min="6" max="6"/>
  </cols>
  <sheetData>
    <row r="1">
      <c r="A1" s="1" t="inlineStr">
        <is>
          <t>Tie-out Detail (detail sum vs SEC-01 annual)</t>
        </is>
      </c>
    </row>
    <row r="2"/>
    <row r="3">
      <c r="A3" s="2" t="inlineStr">
        <is>
          <t>Series</t>
        </is>
      </c>
      <c r="B3" s="2" t="inlineStr">
        <is>
          <t>Detail sum</t>
        </is>
      </c>
      <c r="C3" s="2" t="inlineStr">
        <is>
          <t>Target annual</t>
        </is>
      </c>
      <c r="D3" s="2" t="inlineStr">
        <is>
          <t>Diff</t>
        </is>
      </c>
      <c r="E3" s="2" t="inlineStr">
        <is>
          <t>Anomaly type</t>
        </is>
      </c>
      <c r="F3" s="2" t="inlineStr">
        <is>
          <t>Disposition</t>
        </is>
      </c>
    </row>
    <row r="4">
      <c r="A4" t="inlineStr">
        <is>
          <t>Monthly revenue FY2022</t>
        </is>
      </c>
      <c r="B4" t="n">
        <v>666.701</v>
      </c>
      <c r="C4" t="n">
        <v>666.701</v>
      </c>
      <c r="D4" t="n">
        <v>-0</v>
      </c>
      <c r="E4" t="inlineStr">
        <is>
          <t>Duplicate row 2022-08 (line 14) inflates raw sum to 723.801</t>
        </is>
      </c>
      <c r="F4" t="inlineStr">
        <is>
          <t>Drop duplicate 2022-08; dedup sum ties to SEC-01</t>
        </is>
      </c>
    </row>
    <row r="5">
      <c r="A5" t="inlineStr">
        <is>
          <t>Monthly revenue FY2023</t>
        </is>
      </c>
      <c r="B5" t="n">
        <v>804.029</v>
      </c>
      <c r="C5" t="n">
        <v>804.029</v>
      </c>
      <c r="D5" t="n">
        <v>0</v>
      </c>
      <c r="E5" t="inlineStr">
        <is>
          <t>INT-01 duplicate for 2023-12 (66.500) mixed in; priority 9 reference-only</t>
        </is>
      </c>
      <c r="F5" t="inlineStr">
        <is>
          <t>Exclude INT-01 per CP-02; SEC-01 rows tie to annual</t>
        </is>
      </c>
    </row>
    <row r="6">
      <c r="A6" t="inlineStr">
        <is>
          <t>Segment revenue FY2022</t>
        </is>
      </c>
      <c r="B6" t="n">
        <v>666.701</v>
      </c>
      <c r="C6" t="n">
        <v>666.701</v>
      </c>
      <c r="D6" t="n">
        <v>0</v>
      </c>
      <c r="E6" t="inlineStr">
        <is>
          <t>none</t>
        </is>
      </c>
      <c r="F6" t="inlineStr">
        <is>
          <t>Ties to SEC-01</t>
        </is>
      </c>
    </row>
    <row r="7">
      <c r="A7" t="inlineStr">
        <is>
          <t>Segment revenue FY2023</t>
        </is>
      </c>
      <c r="B7" t="n">
        <v>941.252</v>
      </c>
      <c r="C7" t="n">
        <v>804.029</v>
      </c>
      <c r="D7" s="5" t="n">
        <v>137.223</v>
      </c>
      <c r="E7" t="inlineStr">
        <is>
          <t>FY2023 Other=152.470 overstated vs SEC-01 Other 15.247 (digit error)</t>
        </is>
      </c>
      <c r="F7" t="inlineStr">
        <is>
          <t>Use SEC-01 Other 15.247; detail table Other row rejected</t>
        </is>
      </c>
    </row>
    <row r="8">
      <c r="A8" t="inlineStr">
        <is>
          <t>Geo revenue FY2022</t>
        </is>
      </c>
      <c r="B8" t="n">
        <v>666.701</v>
      </c>
      <c r="C8" t="n">
        <v>666.701</v>
      </c>
      <c r="D8" t="n">
        <v>0</v>
      </c>
      <c r="E8" t="inlineStr">
        <is>
          <t>none</t>
        </is>
      </c>
      <c r="F8" t="inlineStr">
        <is>
          <t>Ties to SEC-01</t>
        </is>
      </c>
    </row>
    <row r="9">
      <c r="A9" t="inlineStr">
        <is>
          <t>Geo revenue FY2023</t>
        </is>
      </c>
      <c r="B9" t="n">
        <v>804.029</v>
      </c>
      <c r="C9" t="n">
        <v>804.029</v>
      </c>
      <c r="D9" t="n">
        <v>0</v>
      </c>
      <c r="E9" t="inlineStr">
        <is>
          <t>none</t>
        </is>
      </c>
      <c r="F9" t="inlineStr">
        <is>
          <t>Ties to SEC-01</t>
        </is>
      </c>
    </row>
    <row r="10">
      <c r="A10" t="inlineStr">
        <is>
          <t>SBC detail FY2022</t>
        </is>
      </c>
      <c r="B10" t="n">
        <v>55.768</v>
      </c>
      <c r="C10" t="n">
        <v>55.768</v>
      </c>
      <c r="D10" t="n">
        <v>0</v>
      </c>
      <c r="E10" t="inlineStr">
        <is>
          <t>none</t>
        </is>
      </c>
      <c r="F10" t="inlineStr">
        <is>
          <t>Ties to SEC-01</t>
        </is>
      </c>
    </row>
    <row r="11">
      <c r="A11" t="inlineStr">
        <is>
          <t>SBC detail FY2023</t>
        </is>
      </c>
      <c r="B11" t="n">
        <v>49.086</v>
      </c>
      <c r="C11" t="n">
        <v>49.086</v>
      </c>
      <c r="D11" t="n">
        <v>0</v>
      </c>
      <c r="E11" t="inlineStr">
        <is>
          <t>TOTAL row=49.680 disagrees with component sum 49.086 and SEC-01 49.086</t>
        </is>
      </c>
      <c r="F11" t="inlineStr">
        <is>
          <t>Use component sum = SEC-01 49.086; TOTAL row rejected</t>
        </is>
      </c>
    </row>
    <row r="12">
      <c r="A12" t="inlineStr">
        <is>
          <t>Cap table pre-money shares</t>
        </is>
      </c>
      <c r="B12" t="n">
        <v>143.716563</v>
      </c>
      <c r="C12" t="n">
        <v>143.716563</v>
      </c>
      <c r="D12" t="n">
        <v>0</v>
      </c>
      <c r="E12" t="inlineStr">
        <is>
          <t>SEC-09 registered 141.200 differs (excludes unsettled RSUs) — definition diff, not error</t>
        </is>
      </c>
      <c r="F12" t="inlineStr">
        <is>
          <t>Components tie to committee economic TOTAL 143.716563</t>
        </is>
      </c>
    </row>
    <row r="13">
      <c r="A13" t="inlineStr">
        <is>
          <t>Quarterly revenue FY2023</t>
        </is>
      </c>
      <c r="B13" t="n">
        <v>804.029</v>
      </c>
      <c r="C13" t="n">
        <v>804.029</v>
      </c>
      <c r="D13" t="n">
        <v>0</v>
      </c>
      <c r="E13" t="inlineStr">
        <is>
          <t>none</t>
        </is>
      </c>
      <c r="F13" t="inlineStr">
        <is>
          <t>Ties to SEC-01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2026-10-10T08:01:55Z</dcterms:created>
  <dcterms:modified xmlns:dcterms="http://purl.org/dc/terms/" xmlns:xsi="http://www.w3.org/2001/XMLSchema-instance" xsi:type="dcterms:W3CDTF">2026-10-10T08:01:55Z</dcterms:modified>
</cp:coreProperties>
</file>