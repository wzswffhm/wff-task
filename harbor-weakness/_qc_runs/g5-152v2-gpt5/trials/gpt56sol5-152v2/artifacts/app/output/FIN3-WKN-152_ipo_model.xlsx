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QoE" sheetId="2" state="visible" r:id="rId4"/>
    <sheet name="Valuation" sheetId="3" state="visible" r:id="rId5"/>
    <sheet name="Sensitivity" sheetId="4" state="visible" r:id="rId6"/>
    <sheet name="Offering_Proceeds" sheetId="5" state="visible" r:id="rId7"/>
    <sheet name="Dilution" sheetId="6" state="visible" r:id="rId8"/>
    <sheet name="Pricing_Summary" sheetId="7" state="visible" r:id="rId9"/>
    <sheet name="Error_Audit" sheetId="8" state="visible" r:id="rId10"/>
    <sheet name="Source_Trace" sheetId="9" state="visible" r:id="rId11"/>
  </sheets>
  <definedNames>
    <definedName function="false" hidden="true" localSheetId="5" name="_xlnm._FilterDatabase" vbProcedure="false">Dilution!$A$1:$D$12</definedName>
    <definedName function="false" hidden="true" localSheetId="7" name="_xlnm._FilterDatabase" vbProcedure="false">Error_Audit!$A$1:$F$15</definedName>
    <definedName function="false" hidden="true" localSheetId="0" name="_xlnm._FilterDatabase" vbProcedure="false">Inputs!$A$1:$F$36</definedName>
    <definedName function="false" hidden="true" localSheetId="4" name="_xlnm._FilterDatabase" vbProcedure="false">Offering_Proceeds!$A$1:$D$11</definedName>
    <definedName function="false" hidden="true" localSheetId="6" name="_xlnm._FilterDatabase" vbProcedure="false">Pricing_Summary!$A$1:$D$18</definedName>
    <definedName function="false" hidden="true" localSheetId="1" name="_xlnm._FilterDatabase" vbProcedure="false">QoE!$A$1:$F$26</definedName>
    <definedName function="false" hidden="true" localSheetId="3" name="_xlnm._FilterDatabase" vbProcedure="false">Sensitivity!$A$1:$G$8</definedName>
    <definedName function="false" hidden="true" localSheetId="8" name="_xlnm._FilterDatabase" vbProcedure="false">Source_Trace!$A$1:$I$27</definedName>
    <definedName function="false" hidden="true" localSheetId="2" name="_xlnm._FilterDatabase" vbProcedure="false">Valuation!$A$1:$E$13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<sst xmlns="http://schemas.openxmlformats.org/spreadsheetml/2006/main" count="709" uniqueCount="417">
  <si>
    <t xml:space="preserve">Input / control item</t>
  </si>
  <si>
    <t xml:space="preserve">Value</t>
  </si>
  <si>
    <t xml:space="preserve">Unit</t>
  </si>
  <si>
    <t xml:space="preserve">Source / formula</t>
  </si>
  <si>
    <t xml:space="preserve">Classification</t>
  </si>
  <si>
    <t xml:space="preserve">Notes</t>
  </si>
  <si>
    <t xml:space="preserve">Information cut-off</t>
  </si>
  <si>
    <t xml:space="preserve">2024-03-20</t>
  </si>
  <si>
    <t xml:space="preserve">date</t>
  </si>
  <si>
    <t xml:space="preserve">00_README.md; CP-01</t>
  </si>
  <si>
    <t xml:space="preserve">Control</t>
  </si>
  <si>
    <t xml:space="preserve">Formal pricing pre-cutoff</t>
  </si>
  <si>
    <t xml:space="preserve">Controlling policy version</t>
  </si>
  <si>
    <t xml:space="preserve">v3</t>
  </si>
  <si>
    <t xml:space="preserve">version</t>
  </si>
  <si>
    <t xml:space="preserve">committee/Committee_Policy_v3_20240320.xlsx</t>
  </si>
  <si>
    <t xml:space="preserve">Internal committee policy</t>
  </si>
  <si>
    <t xml:space="preserve">v2 superseded</t>
  </si>
  <si>
    <t xml:space="preserve">2022 Revenue</t>
  </si>
  <si>
    <t xml:space="preserve">USD mm</t>
  </si>
  <si>
    <t xml:space="preserve">SEC-01</t>
  </si>
  <si>
    <t xml:space="preserve">SEC public fact</t>
  </si>
  <si>
    <t xml:space="preserve">Audited historical</t>
  </si>
  <si>
    <t xml:space="preserve">2023 Revenue</t>
  </si>
  <si>
    <t xml:space="preserve">2022 Net income (loss)</t>
  </si>
  <si>
    <t xml:space="preserve">2023 Net income (loss)</t>
  </si>
  <si>
    <t xml:space="preserve">2022 Management Adjusted EBITDA</t>
  </si>
  <si>
    <t xml:space="preserve">SEC public non-GAAP fact</t>
  </si>
  <si>
    <t xml:space="preserve">Outside auditor opinion</t>
  </si>
  <si>
    <t xml:space="preserve">2023 Management Adjusted EBITDA</t>
  </si>
  <si>
    <t xml:space="preserve">2022 SBC &amp; related taxes</t>
  </si>
  <si>
    <t xml:space="preserve">Detail tie-out complete</t>
  </si>
  <si>
    <t xml:space="preserve">2023 SBC &amp; related taxes</t>
  </si>
  <si>
    <t xml:space="preserve">2022 Restructuring</t>
  </si>
  <si>
    <t xml:space="preserve">2023 Restructuring</t>
  </si>
  <si>
    <t xml:space="preserve">Already adjusted in management EBITDA</t>
  </si>
  <si>
    <t xml:space="preserve">2022 Free Cash Flow</t>
  </si>
  <si>
    <t xml:space="preserve">2023 Free Cash Flow</t>
  </si>
  <si>
    <t xml:space="preserve">OCF less capex ties</t>
  </si>
  <si>
    <t xml:space="preserve">2022 Cash</t>
  </si>
  <si>
    <t xml:space="preserve">2023 Cash</t>
  </si>
  <si>
    <t xml:space="preserve">2022 Marketable securities</t>
  </si>
  <si>
    <t xml:space="preserve">2023 Marketable securities</t>
  </si>
  <si>
    <t xml:space="preserve">Must enter net cash bridge</t>
  </si>
  <si>
    <t xml:space="preserve">SEC preliminary NTBV/share</t>
  </si>
  <si>
    <t xml:space="preserve">USD/share</t>
  </si>
  <si>
    <t xml:space="preserve">SEC-02</t>
  </si>
  <si>
    <t xml:space="preserve">Only at assumed $32.50</t>
  </si>
  <si>
    <t xml:space="preserve">SEC assumed price for dilution</t>
  </si>
  <si>
    <t xml:space="preserve">Cross-check only</t>
  </si>
  <si>
    <t xml:space="preserve">SEC preliminary immediate dilution</t>
  </si>
  <si>
    <t xml:space="preserve">2024E revenue growth</t>
  </si>
  <si>
    <t xml:space="preserve">%</t>
  </si>
  <si>
    <t xml:space="preserve">committee/Underwriting_Assumptions_20240320.xlsx; CP-06</t>
  </si>
  <si>
    <t xml:space="preserve">Internal committee assumption</t>
  </si>
  <si>
    <t xml:space="preserve">Not an SEC fact</t>
  </si>
  <si>
    <t xml:space="preserve">Peer low</t>
  </si>
  <si>
    <t xml:space="preserve">x</t>
  </si>
  <si>
    <t xml:space="preserve">committee/Underwriting_Assumptions_20240320.xlsx; CP-07</t>
  </si>
  <si>
    <t xml:space="preserve">Bank comps are cross-check only</t>
  </si>
  <si>
    <t xml:space="preserve">Peer midpoint</t>
  </si>
  <si>
    <t xml:space="preserve">Peer high</t>
  </si>
  <si>
    <t xml:space="preserve">IPO execution discount</t>
  </si>
  <si>
    <t xml:space="preserve">committee/Underwriting_Assumptions_20240320.xlsx; CP-09</t>
  </si>
  <si>
    <t xml:space="preserve">Apply to equity value/share</t>
  </si>
  <si>
    <t xml:space="preserve">Proposed committee price</t>
  </si>
  <si>
    <t xml:space="preserve">committee/Offering_Terms_20240320.xlsx</t>
  </si>
  <si>
    <t xml:space="preserve">Decision input, not actual result</t>
  </si>
  <si>
    <t xml:space="preserve">Base primary shares</t>
  </si>
  <si>
    <t xml:space="preserve">mm shares</t>
  </si>
  <si>
    <t xml:space="preserve">SEC-03</t>
  </si>
  <si>
    <t xml:space="preserve">New company shares</t>
  </si>
  <si>
    <t xml:space="preserve">Base secondary shares</t>
  </si>
  <si>
    <t xml:space="preserve">No company proceeds or share increase</t>
  </si>
  <si>
    <t xml:space="preserve">Greenshoe shares</t>
  </si>
  <si>
    <t xml:space="preserve">Excluded from Base</t>
  </si>
  <si>
    <t xml:space="preserve">Pre-money economic shares</t>
  </si>
  <si>
    <t xml:space="preserve">committee cap-table snapshot / SEC-09 components</t>
  </si>
  <si>
    <t xml:space="preserve">Includes vested unsettled RSUs and in-money options</t>
  </si>
  <si>
    <t xml:space="preserve">Underwriting fee rate</t>
  </si>
  <si>
    <t xml:space="preserve">committee/Offering_Terms_20240320.xlsx; SEC-10 basis</t>
  </si>
  <si>
    <t xml:space="preserve">Primary gross only</t>
  </si>
  <si>
    <t xml:space="preserve">Fixed company expenses</t>
  </si>
  <si>
    <t xml:space="preserve">Do not repeat on greenshoe increment</t>
  </si>
  <si>
    <t xml:space="preserve">Preliminary filing range low</t>
  </si>
  <si>
    <t xml:space="preserve">Execution cross-check only</t>
  </si>
  <si>
    <t xml:space="preserve">Preliminary filing range high</t>
  </si>
  <si>
    <t xml:space="preserve">Metric / check</t>
  </si>
  <si>
    <t xml:space="preserve">2022A</t>
  </si>
  <si>
    <t xml:space="preserve">2023A</t>
  </si>
  <si>
    <t xml:space="preserve">Formula / conclusion</t>
  </si>
  <si>
    <t xml:space="preserve">Source / policy</t>
  </si>
  <si>
    <t xml:space="preserve">Revenue</t>
  </si>
  <si>
    <t xml:space="preserve">SEC reported</t>
  </si>
  <si>
    <t xml:space="preserve">Revenue growth</t>
  </si>
  <si>
    <t xml:space="preserve">2023A / 2022A - 1</t>
  </si>
  <si>
    <t xml:space="preserve">Calculated</t>
  </si>
  <si>
    <t xml:space="preserve">Net income (loss)</t>
  </si>
  <si>
    <t xml:space="preserve">Management Adjusted EBITDA</t>
  </si>
  <si>
    <t xml:space="preserve">Starting point; non-GAAP</t>
  </si>
  <si>
    <t xml:space="preserve">SEC-01 / CP-03</t>
  </si>
  <si>
    <t xml:space="preserve">Less: SBC &amp; related taxes</t>
  </si>
  <si>
    <t xml:space="preserve">Reverse management addback</t>
  </si>
  <si>
    <t xml:space="preserve">CP-03</t>
  </si>
  <si>
    <t xml:space="preserve">Restructuring incremental adjustment</t>
  </si>
  <si>
    <t xml:space="preserve">No second adjustment</t>
  </si>
  <si>
    <t xml:space="preserve">CP-04</t>
  </si>
  <si>
    <t xml:space="preserve">Underwriting EBITDA</t>
  </si>
  <si>
    <t xml:space="preserve">Remains negative</t>
  </si>
  <si>
    <t xml:space="preserve">CP-03/CP-04</t>
  </si>
  <si>
    <t xml:space="preserve">Free Cash Flow</t>
  </si>
  <si>
    <t xml:space="preserve">SEC-01 / CP-13</t>
  </si>
  <si>
    <t xml:space="preserve">Cash &amp; cash equivalents</t>
  </si>
  <si>
    <t xml:space="preserve">Marketable securities</t>
  </si>
  <si>
    <t xml:space="preserve">Cash + marketable securities</t>
  </si>
  <si>
    <t xml:space="preserve">Net cash bridge input</t>
  </si>
  <si>
    <t xml:space="preserve">CP-08</t>
  </si>
  <si>
    <t xml:space="preserve">Detailed tie-out</t>
  </si>
  <si>
    <t xml:space="preserve">Reported</t>
  </si>
  <si>
    <t xml:space="preserve">Difference</t>
  </si>
  <si>
    <t xml:space="preserve">Disposition</t>
  </si>
  <si>
    <t xml:space="preserve">Source</t>
  </si>
  <si>
    <t xml:space="preserve">Monthly revenue FY2022</t>
  </si>
  <si>
    <t xml:space="preserve">Exclude duplicate-export</t>
  </si>
  <si>
    <t xml:space="preserve">monthly revenue / SEC-01</t>
  </si>
  <si>
    <t xml:space="preserve">Monthly revenue FY2023</t>
  </si>
  <si>
    <t xml:space="preserve">Exclude preliminary residue</t>
  </si>
  <si>
    <t xml:space="preserve">Quarterly revenue FY2023</t>
  </si>
  <si>
    <t xml:space="preserve">Ties</t>
  </si>
  <si>
    <t xml:space="preserve">quarterly revenue / SEC-01</t>
  </si>
  <si>
    <t xml:space="preserve">Segment revenue FY2022</t>
  </si>
  <si>
    <t xml:space="preserve">segment revenue / SEC-01</t>
  </si>
  <si>
    <t xml:space="preserve">Segment revenue FY2023</t>
  </si>
  <si>
    <t xml:space="preserve">Geography revenue FY2022</t>
  </si>
  <si>
    <t xml:space="preserve">SEC-05 / SEC-01</t>
  </si>
  <si>
    <t xml:space="preserve">Geography revenue FY2023</t>
  </si>
  <si>
    <t xml:space="preserve">SBC detail FY2023</t>
  </si>
  <si>
    <t xml:space="preserve">SBC detail / SEC-01</t>
  </si>
  <si>
    <t xml:space="preserve">Restructuring detail FY2023</t>
  </si>
  <si>
    <t xml:space="preserve">Ties; no double addback</t>
  </si>
  <si>
    <t xml:space="preserve">restructuring detail / SEC-01</t>
  </si>
  <si>
    <t xml:space="preserve">FCF FY2023</t>
  </si>
  <si>
    <t xml:space="preserve">OCF + capex outflow</t>
  </si>
  <si>
    <t xml:space="preserve">FCF bridge / SEC-01</t>
  </si>
  <si>
    <t xml:space="preserve">Cash movement FY2023</t>
  </si>
  <si>
    <t xml:space="preserve">cash flow / SEC-01</t>
  </si>
  <si>
    <t xml:space="preserve">Net loss FY2023</t>
  </si>
  <si>
    <t xml:space="preserve">Revenue + total opex + other income</t>
  </si>
  <si>
    <t xml:space="preserve">income statement / SEC-01</t>
  </si>
  <si>
    <t xml:space="preserve">Valuation step</t>
  </si>
  <si>
    <t xml:space="preserve">Low</t>
  </si>
  <si>
    <t xml:space="preserve">Mid</t>
  </si>
  <si>
    <t xml:space="preserve">High</t>
  </si>
  <si>
    <t xml:space="preserve">Unit / note</t>
  </si>
  <si>
    <t xml:space="preserve">2024E Revenue</t>
  </si>
  <si>
    <t xml:space="preserve">2023A × (1 + internal growth assumption)</t>
  </si>
  <si>
    <t xml:space="preserve">EV / Revenue multiple</t>
  </si>
  <si>
    <t xml:space="preserve">Committee CP-07</t>
  </si>
  <si>
    <t xml:space="preserve">Enterprise Value</t>
  </si>
  <si>
    <t xml:space="preserve">Add: Cash</t>
  </si>
  <si>
    <t xml:space="preserve">Add: Marketable securities</t>
  </si>
  <si>
    <t xml:space="preserve">Pre-money Equity Value</t>
  </si>
  <si>
    <t xml:space="preserve">Undiscounted equity value/share</t>
  </si>
  <si>
    <t xml:space="preserve">Execution discount</t>
  </si>
  <si>
    <t xml:space="preserve">Internal CP-09</t>
  </si>
  <si>
    <t xml:space="preserve">Committee supported price/share</t>
  </si>
  <si>
    <t xml:space="preserve">Proposed price</t>
  </si>
  <si>
    <t xml:space="preserve">Internal decision input</t>
  </si>
  <si>
    <t xml:space="preserve">Proposed less supported value</t>
  </si>
  <si>
    <t xml:space="preserve">2024E growth × EV/Revenue</t>
  </si>
  <si>
    <t xml:space="preserve">4.00x</t>
  </si>
  <si>
    <t xml:space="preserve">4.25x</t>
  </si>
  <si>
    <t xml:space="preserve">4.50x</t>
  </si>
  <si>
    <t xml:space="preserve">4.75x</t>
  </si>
  <si>
    <t xml:space="preserve">5.00x</t>
  </si>
  <si>
    <t xml:space="preserve">Row definition</t>
  </si>
  <si>
    <t xml:space="preserve">2023A actual growth anchor</t>
  </si>
  <si>
    <t xml:space="preserve">Mechanical step</t>
  </si>
  <si>
    <t xml:space="preserve">Base growth</t>
  </si>
  <si>
    <t xml:space="preserve">Method note</t>
  </si>
  <si>
    <t xml:space="preserve">Growth grid is mechanically derived from 2023A actual growth and the committee base; multiples interpolate the committee range. Non-base cells are sensitivities, not forecasts.</t>
  </si>
  <si>
    <t xml:space="preserve">Item</t>
  </si>
  <si>
    <t xml:space="preserve">Base</t>
  </si>
  <si>
    <t xml:space="preserve">Full Exercise</t>
  </si>
  <si>
    <t xml:space="preserve">Unit / treatment</t>
  </si>
  <si>
    <t xml:space="preserve">USD/share; internal decision input</t>
  </si>
  <si>
    <t xml:space="preserve">Primary shares</t>
  </si>
  <si>
    <t xml:space="preserve">Secondary shares</t>
  </si>
  <si>
    <t xml:space="preserve">mm shares; no company proceeds</t>
  </si>
  <si>
    <t xml:space="preserve">mm shares; Base excludes</t>
  </si>
  <si>
    <t xml:space="preserve">Company primary gross proceeds</t>
  </si>
  <si>
    <t xml:space="preserve">Secondary gross proceeds</t>
  </si>
  <si>
    <t xml:space="preserve">USD mm; to selling holders</t>
  </si>
  <si>
    <t xml:space="preserve">Company underwriting fee</t>
  </si>
  <si>
    <t xml:space="preserve">USD mm; primary gross only</t>
  </si>
  <si>
    <t xml:space="preserve">USD mm; once per total scenario</t>
  </si>
  <si>
    <t xml:space="preserve">Company net primary proceeds</t>
  </si>
  <si>
    <t xml:space="preserve">Incremental net proceeds vs Base</t>
  </si>
  <si>
    <t xml:space="preserve">USD mm; no repeat fixed expense</t>
  </si>
  <si>
    <t xml:space="preserve">New primary shares</t>
  </si>
  <si>
    <t xml:space="preserve">Secondary shares (no share increase)</t>
  </si>
  <si>
    <t xml:space="preserve">mm shares; transfer only</t>
  </si>
  <si>
    <t xml:space="preserve">Post-money economic shares</t>
  </si>
  <si>
    <t xml:space="preserve">New primary / post-money</t>
  </si>
  <si>
    <t xml:space="preserve">New primary / pre-money</t>
  </si>
  <si>
    <t xml:space="preserve">Secondary impact on company shares</t>
  </si>
  <si>
    <t xml:space="preserve">SEC assumed price</t>
  </si>
  <si>
    <t xml:space="preserve">USD/share; cross-check only</t>
  </si>
  <si>
    <t xml:space="preserve">USD/share; only at SEC assumed price</t>
  </si>
  <si>
    <t xml:space="preserve">SEC arithmetic cross-check</t>
  </si>
  <si>
    <t xml:space="preserve">Should be zero</t>
  </si>
  <si>
    <t xml:space="preserve">Decision item</t>
  </si>
  <si>
    <t xml:space="preserve">Result</t>
  </si>
  <si>
    <t xml:space="preserve">Cross-reference / interpretation</t>
  </si>
  <si>
    <t xml:space="preserve">2023 Underwriting EBITDA</t>
  </si>
  <si>
    <t xml:space="preserve">Negative; EV/EBITDA not used</t>
  </si>
  <si>
    <t xml:space="preserve">Negative QoE risk</t>
  </si>
  <si>
    <t xml:space="preserve">2023A × (1 + internal committee growth)</t>
  </si>
  <si>
    <t xml:space="preserve">Supported range low</t>
  </si>
  <si>
    <t xml:space="preserve">Low multiple after execution discount</t>
  </si>
  <si>
    <t xml:space="preserve">Supported midpoint</t>
  </si>
  <si>
    <t xml:space="preserve">Mid multiple after execution discount</t>
  </si>
  <si>
    <t xml:space="preserve">Supported range high</t>
  </si>
  <si>
    <t xml:space="preserve">High multiple after execution discount</t>
  </si>
  <si>
    <t xml:space="preserve">Internal input; not actual final price</t>
  </si>
  <si>
    <t xml:space="preserve">Proposed less midpoint</t>
  </si>
  <si>
    <t xml:space="preserve">Negative means below midpoint</t>
  </si>
  <si>
    <t xml:space="preserve">Absolute midpoint distance</t>
  </si>
  <si>
    <t xml:space="preserve">CP-14 threshold is $0.50</t>
  </si>
  <si>
    <t xml:space="preserve">Within supported range?</t>
  </si>
  <si>
    <t xml:space="preserve">text</t>
  </si>
  <si>
    <t xml:space="preserve">CP-14/CP-15</t>
  </si>
  <si>
    <t xml:space="preserve">Within $0.50 of midpoint?</t>
  </si>
  <si>
    <t xml:space="preserve">Unresolved structure hard errors</t>
  </si>
  <si>
    <t xml:space="preserve">count</t>
  </si>
  <si>
    <t xml:space="preserve">All legacy structure errors corrected in this model</t>
  </si>
  <si>
    <t xml:space="preserve">Base company gross proceeds</t>
  </si>
  <si>
    <t xml:space="preserve">Primary only</t>
  </si>
  <si>
    <t xml:space="preserve">Base company net proceeds</t>
  </si>
  <si>
    <t xml:space="preserve">After percentage fee and fixed expenses</t>
  </si>
  <si>
    <t xml:space="preserve">Base post-money shares</t>
  </si>
  <si>
    <t xml:space="preserve">Secondary excluded</t>
  </si>
  <si>
    <t xml:space="preserve">Full-exercise post-money shares</t>
  </si>
  <si>
    <t xml:space="preserve">Separate scenario</t>
  </si>
  <si>
    <t xml:space="preserve">Recommendation</t>
  </si>
  <si>
    <t xml:space="preserve">Mechanical CP-14/CP-15 result</t>
  </si>
  <si>
    <t xml:space="preserve">Issue category</t>
  </si>
  <si>
    <t xml:space="preserve">Legacy treatment</t>
  </si>
  <si>
    <t xml:space="preserve">Correct treatment</t>
  </si>
  <si>
    <t xml:space="preserve">Quantified impact</t>
  </si>
  <si>
    <t xml:space="preserve">Status</t>
  </si>
  <si>
    <t xml:space="preserve">Policy / boundary</t>
  </si>
  <si>
    <t xml:space="preserve">QoE starting metric</t>
  </si>
  <si>
    <t xml:space="preserve">Management Adjusted EBITDA used as underwriting conclusion</t>
  </si>
  <si>
    <t xml:space="preserve">Reverse SBC addback; restructuring adjustment remains zero</t>
  </si>
  <si>
    <t xml:space="preserve">2023 EBITDA reduced by 49.086 to -118.361</t>
  </si>
  <si>
    <t xml:space="preserve">Corrected</t>
  </si>
  <si>
    <t xml:space="preserve">Double counting</t>
  </si>
  <si>
    <t xml:space="preserve">Risk of adding restructuring again</t>
  </si>
  <si>
    <t xml:space="preserve">No second addback because management metric already reflects it</t>
  </si>
  <si>
    <t xml:space="preserve">Avoids 8.098 overstatement</t>
  </si>
  <si>
    <t xml:space="preserve">Valuation denominator</t>
  </si>
  <si>
    <t xml:space="preserve">4.5x applied to 2023A Revenue</t>
  </si>
  <si>
    <t xml:space="preserve">Use 2024E Revenue = 2023A × (1 + committee growth)</t>
  </si>
  <si>
    <t xml:space="preserve">Mid EV increases by 795.989</t>
  </si>
  <si>
    <t xml:space="preserve">CP-05/CP-06</t>
  </si>
  <si>
    <t xml:space="preserve">No discount applied</t>
  </si>
  <si>
    <t xml:space="preserve">Apply 12.5% to peer-implied equity value/share</t>
  </si>
  <si>
    <t xml:space="preserve">Mid price reduced by $4.89</t>
  </si>
  <si>
    <t xml:space="preserve">CP-09</t>
  </si>
  <si>
    <t xml:space="preserve">Net cash bridge</t>
  </si>
  <si>
    <t xml:space="preserve">Marketable securities omitted</t>
  </si>
  <si>
    <t xml:space="preserve">Add cash and marketable securities to EV</t>
  </si>
  <si>
    <t xml:space="preserve">Equity value restored by 811.946</t>
  </si>
  <si>
    <t xml:space="preserve">Primary / secondary</t>
  </si>
  <si>
    <t xml:space="preserve">All 22.0m base shares treated as primary</t>
  </si>
  <si>
    <t xml:space="preserve">Separate primary and secondary</t>
  </si>
  <si>
    <t xml:space="preserve">Company gross overstatement avoided: 228.598 at proposed price</t>
  </si>
  <si>
    <t xml:space="preserve">CP-10</t>
  </si>
  <si>
    <t xml:space="preserve">Greenshoe in Base</t>
  </si>
  <si>
    <t xml:space="preserve">3.3m option included in Base</t>
  </si>
  <si>
    <t xml:space="preserve">Base excludes option; full exercise shown separately</t>
  </si>
  <si>
    <t xml:space="preserve">Base shares avoid 3.300 premature increase</t>
  </si>
  <si>
    <t xml:space="preserve">CP-11</t>
  </si>
  <si>
    <t xml:space="preserve">Underwriting fee basis</t>
  </si>
  <si>
    <t xml:space="preserve">Fee charged on primary + secondary</t>
  </si>
  <si>
    <t xml:space="preserve">Company fee charged only on primary gross</t>
  </si>
  <si>
    <t xml:space="preserve">Base company fee overstatement avoided: 11.430</t>
  </si>
  <si>
    <t xml:space="preserve">CP-12</t>
  </si>
  <si>
    <t xml:space="preserve">Post-money shares</t>
  </si>
  <si>
    <t xml:space="preserve">Secondary added to company shares</t>
  </si>
  <si>
    <t xml:space="preserve">Only newly issued primary shares increase company shares</t>
  </si>
  <si>
    <t xml:space="preserve">Denominator overstatement avoided: 6.723473 shares</t>
  </si>
  <si>
    <t xml:space="preserve">Company proceeds</t>
  </si>
  <si>
    <t xml:space="preserve">Secondary proceeds added to company cash</t>
  </si>
  <si>
    <t xml:space="preserve">Secondary proceeds go to selling holders</t>
  </si>
  <si>
    <t xml:space="preserve">Company proceeds overstatement avoided: 228.598</t>
  </si>
  <si>
    <t xml:space="preserve">Dilution convention</t>
  </si>
  <si>
    <t xml:space="preserve">Post-money equity divided by pre-money shares</t>
  </si>
  <si>
    <t xml:space="preserve">Use consistent post-money share bridge; SEC $32.50 data only cross-checks</t>
  </si>
  <si>
    <t xml:space="preserve">Legacy dilution result is not usable</t>
  </si>
  <si>
    <t xml:space="preserve">SEC-02 boundary</t>
  </si>
  <si>
    <t xml:space="preserve">Pricing recommendation</t>
  </si>
  <si>
    <t xml:space="preserve">Move above $34.00 based mainly on peer high case</t>
  </si>
  <si>
    <t xml:space="preserve">Apply Low/Mid/High range, midpoint guardrail and QoE disclosure</t>
  </si>
  <si>
    <t xml:space="preserve">Proposed is $0.26 below midpoint</t>
  </si>
  <si>
    <t xml:space="preserve">Broken references</t>
  </si>
  <si>
    <t xml:space="preserve">#REF! in valuation, QoE and offering links</t>
  </si>
  <si>
    <t xml:space="preserve">Rebuild formulas from controlling source files</t>
  </si>
  <si>
    <t xml:space="preserve">Three broken links removed from decision model</t>
  </si>
  <si>
    <t xml:space="preserve">Model integrity</t>
  </si>
  <si>
    <t xml:space="preserve">Detail export status</t>
  </si>
  <si>
    <t xml:space="preserve">Duplicate 2022-08 and preliminary 2023-12 could be summed</t>
  </si>
  <si>
    <t xml:space="preserve">Use original/audited-final rows and reconcile to SEC totals</t>
  </si>
  <si>
    <t xml:space="preserve">Avoids 57.100 duplicate and 66.500 preliminary double count</t>
  </si>
  <si>
    <t xml:space="preserve">CP-02 / data dictionary</t>
  </si>
  <si>
    <t xml:space="preserve">metric</t>
  </si>
  <si>
    <t xml:space="preserve">selected_value</t>
  </si>
  <si>
    <t xml:space="preserve">unit</t>
  </si>
  <si>
    <t xml:space="preserve">selected_source_id</t>
  </si>
  <si>
    <t xml:space="preserve">selected_source_file</t>
  </si>
  <si>
    <t xml:space="preserve">source_type</t>
  </si>
  <si>
    <t xml:space="preserve">competing_value</t>
  </si>
  <si>
    <t xml:space="preserve">competing_source</t>
  </si>
  <si>
    <t xml:space="preserve">disposition</t>
  </si>
  <si>
    <t xml:space="preserve">SEC-04</t>
  </si>
  <si>
    <t xml:space="preserve">sec_filings/SEC-04_s1a_a2_20240315_summary.md</t>
  </si>
  <si>
    <t xml:space="preserve">Post-cutoff results</t>
  </si>
  <si>
    <t xml:space="preserve">Excluded</t>
  </si>
  <si>
    <t xml:space="preserve">Use only information available before committee pricing on 2024-03-20</t>
  </si>
  <si>
    <t xml:space="preserve">Controlling policy</t>
  </si>
  <si>
    <t xml:space="preserve">v2</t>
  </si>
  <si>
    <t xml:space="preserve">committee/Committee_Policy_v2_20240305.xlsx</t>
  </si>
  <si>
    <t xml:space="preserve">v3 supersedes v2 for SBC, peer range, discount and fee basis</t>
  </si>
  <si>
    <t xml:space="preserve">sec_filings/SEC-01_financials_extract.xlsx</t>
  </si>
  <si>
    <t xml:space="preserve">internal/management_flash_20240319.csv (INT-01, Priority 9)</t>
  </si>
  <si>
    <t xml:space="preserve">Use audited SEC-01; reject unreviewed flash</t>
  </si>
  <si>
    <t xml:space="preserve">Use SEC-01</t>
  </si>
  <si>
    <t xml:space="preserve">Use SEC-01; metric is outside auditor opinion</t>
  </si>
  <si>
    <t xml:space="preserve">Use SEC-01 and verified detail; reject flash</t>
  </si>
  <si>
    <t xml:space="preserve">2023 Restructuring costs</t>
  </si>
  <si>
    <t xml:space="preserve">financials/restructuring_detail_2023.csv</t>
  </si>
  <si>
    <t xml:space="preserve">SEC public fact/detail</t>
  </si>
  <si>
    <t xml:space="preserve">Possible second addback</t>
  </si>
  <si>
    <t xml:space="preserve">legacy treatment risk</t>
  </si>
  <si>
    <t xml:space="preserve">No second addback under CP-04</t>
  </si>
  <si>
    <t xml:space="preserve">SEC-01 + committee/Committee_Policy_v3_20240320.xlsx</t>
  </si>
  <si>
    <t xml:space="preserve">Calculated underwriting convention</t>
  </si>
  <si>
    <t xml:space="preserve">Legacy used management metric directly</t>
  </si>
  <si>
    <t xml:space="preserve">Reverse SBC addback under CP-03</t>
  </si>
  <si>
    <t xml:space="preserve">Use SEC-01; independently ties to OCF plus capex</t>
  </si>
  <si>
    <t xml:space="preserve">2023 Cash &amp; cash equivalents</t>
  </si>
  <si>
    <t xml:space="preserve">Include in net cash bridge</t>
  </si>
  <si>
    <t xml:space="preserve">legacy/Candidate_Model_v0.xlsx</t>
  </si>
  <si>
    <t xml:space="preserve">Include in net cash bridge under CP-08</t>
  </si>
  <si>
    <t xml:space="preserve">2024E Revenue growth</t>
  </si>
  <si>
    <t xml:space="preserve">UW-01</t>
  </si>
  <si>
    <t xml:space="preserve">committee/Underwriting_Assumptions_20240320.xlsx</t>
  </si>
  <si>
    <t xml:space="preserve">18% sector median</t>
  </si>
  <si>
    <t xml:space="preserve">research/sector_benchmark.md</t>
  </si>
  <si>
    <t xml:space="preserve">Use 22.0% CP-06; do not present as SEC fact</t>
  </si>
  <si>
    <t xml:space="preserve">SEC-01 revenue × committee CP-06 growth</t>
  </si>
  <si>
    <t xml:space="preserve">Calculated using public fact + internal assumption</t>
  </si>
  <si>
    <t xml:space="preserve">legacy used 2023A denominator</t>
  </si>
  <si>
    <t xml:space="preserve">Use forward revenue</t>
  </si>
  <si>
    <t xml:space="preserve">Peer Low / Mid / High</t>
  </si>
  <si>
    <t xml:space="preserve">4.0x / 4.5x / 5.0x</t>
  </si>
  <si>
    <t xml:space="preserve">A 4.0-5.0x; B 4.2-5.1x</t>
  </si>
  <si>
    <t xml:space="preserve">comps files, Priority 8</t>
  </si>
  <si>
    <t xml:space="preserve">Use committee range under CP-07; banks are cross-check only</t>
  </si>
  <si>
    <t xml:space="preserve">10%</t>
  </si>
  <si>
    <t xml:space="preserve">superseded Committee Policy v2</t>
  </si>
  <si>
    <t xml:space="preserve">Use 12.5%; apply to implied equity value/share</t>
  </si>
  <si>
    <t xml:space="preserve">SEC-09</t>
  </si>
  <si>
    <t xml:space="preserve">committee/cap_table_snapshot_20240318.csv</t>
  </si>
  <si>
    <t xml:space="preserve">Internal committee snapshot using SEC-09 components</t>
  </si>
  <si>
    <t xml:space="preserve">sec_filings/SEC-16_share_count_history.csv</t>
  </si>
  <si>
    <t xml:space="preserve">Use economic snapshot; registered count excludes unsettled RSUs</t>
  </si>
  <si>
    <t xml:space="preserve">31-34</t>
  </si>
  <si>
    <t xml:space="preserve">SEC-03 preliminary filing range</t>
  </si>
  <si>
    <t xml:space="preserve">Decision input, not actual final price</t>
  </si>
  <si>
    <t xml:space="preserve">sec_filings/SEC-03_offering_terms.xlsx</t>
  </si>
  <si>
    <t xml:space="preserve">legacy treated all base shares as primary</t>
  </si>
  <si>
    <t xml:space="preserve">Use SEC-03 primary amount</t>
  </si>
  <si>
    <t xml:space="preserve">Included in company proceeds/share count</t>
  </si>
  <si>
    <t xml:space="preserve">No company proceeds and no new company shares</t>
  </si>
  <si>
    <t xml:space="preserve">Greenshoe</t>
  </si>
  <si>
    <t xml:space="preserve">Included in Base</t>
  </si>
  <si>
    <t xml:space="preserve">Exclude from Base; show full-exercise separately</t>
  </si>
  <si>
    <t xml:space="preserve">Underwriting fee rate / basis</t>
  </si>
  <si>
    <t xml:space="preserve">% of primary gross</t>
  </si>
  <si>
    <t xml:space="preserve">SEC-10</t>
  </si>
  <si>
    <t xml:space="preserve">committee/Offering_Terms_20240320.xlsx; sec_filings/SEC-10_underwriting_agreement_summary.md</t>
  </si>
  <si>
    <t xml:space="preserve">SEC mechanism + internal rate assumption</t>
  </si>
  <si>
    <t xml:space="preserve">% of primary + secondary</t>
  </si>
  <si>
    <t xml:space="preserve">superseded Committee Policy v2 / legacy</t>
  </si>
  <si>
    <t xml:space="preserve">Apply to company primary gross only</t>
  </si>
  <si>
    <t xml:space="preserve">Repeated on greenshoe</t>
  </si>
  <si>
    <t xml:space="preserve">legacy risk</t>
  </si>
  <si>
    <t xml:space="preserve">Charge once in each total scenario; no repeat on increment</t>
  </si>
  <si>
    <t xml:space="preserve">SEC NTBV/share cross-check</t>
  </si>
  <si>
    <t xml:space="preserve">sec_filings/SEC-02_dilution_crosscheck.xlsx</t>
  </si>
  <si>
    <t xml:space="preserve">SEC public fact at assumed price</t>
  </si>
  <si>
    <t xml:space="preserve">Not comparable directly to $34.00</t>
  </si>
  <si>
    <t xml:space="preserve">Assumed price differs</t>
  </si>
  <si>
    <t xml:space="preserve">Use only as independent arithmetic/methodology boundary</t>
  </si>
  <si>
    <t xml:space="preserve">SEC immediate dilution cross-check</t>
  </si>
  <si>
    <t xml:space="preserve">11.17 + 21.33 = 32.50; do not transplant to $34.00</t>
  </si>
  <si>
    <t xml:space="preserve">Committee supported range</t>
  </si>
  <si>
    <t xml:space="preserve">31.27-37.25</t>
  </si>
  <si>
    <t xml:space="preserve">Calculated from SEC-01 and committee policy v3</t>
  </si>
  <si>
    <t xml:space="preserve">Calculated conclusion</t>
  </si>
  <si>
    <t xml:space="preserve">Committee range is valuation output; SEC range is execution cross-check</t>
  </si>
  <si>
    <t xml:space="preserve">Proceed</t>
  </si>
  <si>
    <t xml:space="preserve">Calculated policy disposition</t>
  </si>
  <si>
    <t xml:space="preserve">Legacy above $34.00</t>
  </si>
  <si>
    <t xml:space="preserve">Apply CP-14/CP-15 after correcting hard errors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</si>
</sst>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%"/>
    <numFmt numFmtId="167" formatCode="0.000;[RED]\(0.000\)"/>
    <numFmt numFmtId="168" formatCode="\$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7E6E6"/>
        <bgColor rgb="FFE2F0D9"/>
      </patternFill>
    </fill>
    <fill>
      <patternFill patternType="solid">
        <fgColor rgb="FFFFF2CC"/>
        <bgColor rgb="FFFCE4D6"/>
      </patternFill>
    </fill>
    <fill>
      <patternFill patternType="solid">
        <fgColor rgb="FFD9EAF7"/>
        <bgColor rgb="FFE7E6E6"/>
      </patternFill>
    </fill>
    <fill>
      <patternFill patternType="solid">
        <fgColor rgb="FFE2F0D9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7365D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  <col collapsed="false" customWidth="true" hidden="false" outlineLevel="0" max="4" min="4" style="0" width="55"/>
    <col collapsed="false" customWidth="true" hidden="false" outlineLevel="0" max="5" min="5" style="0" width="31"/>
    <col collapsed="false" customWidth="true" hidden="false" outlineLevel="0" max="6" min="6" style="0" width="5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customFormat="false" ht="15" hidden="false" customHeight="false" outlineLevel="0" collapsed="false">
      <c r="A4" s="4" t="s">
        <v>18</v>
      </c>
      <c r="B4" s="5" t="n">
        <v>666.701</v>
      </c>
      <c r="C4" s="4" t="s">
        <v>19</v>
      </c>
      <c r="D4" s="4" t="s">
        <v>20</v>
      </c>
      <c r="E4" s="4" t="s">
        <v>21</v>
      </c>
      <c r="F4" s="4" t="s">
        <v>22</v>
      </c>
    </row>
    <row r="5" customFormat="false" ht="15" hidden="false" customHeight="false" outlineLevel="0" collapsed="false">
      <c r="A5" s="4" t="s">
        <v>23</v>
      </c>
      <c r="B5" s="5" t="n">
        <v>804.029</v>
      </c>
      <c r="C5" s="4" t="s">
        <v>19</v>
      </c>
      <c r="D5" s="4" t="s">
        <v>20</v>
      </c>
      <c r="E5" s="4" t="s">
        <v>21</v>
      </c>
      <c r="F5" s="4" t="s">
        <v>22</v>
      </c>
    </row>
    <row r="6" customFormat="false" ht="15" hidden="false" customHeight="false" outlineLevel="0" collapsed="false">
      <c r="A6" s="4" t="s">
        <v>24</v>
      </c>
      <c r="B6" s="5" t="n">
        <v>-158.55</v>
      </c>
      <c r="C6" s="4" t="s">
        <v>19</v>
      </c>
      <c r="D6" s="4" t="s">
        <v>20</v>
      </c>
      <c r="E6" s="4" t="s">
        <v>21</v>
      </c>
      <c r="F6" s="4" t="s">
        <v>22</v>
      </c>
    </row>
    <row r="7" customFormat="false" ht="15" hidden="false" customHeight="false" outlineLevel="0" collapsed="false">
      <c r="A7" s="4" t="s">
        <v>25</v>
      </c>
      <c r="B7" s="5" t="n">
        <v>-90.824</v>
      </c>
      <c r="C7" s="4" t="s">
        <v>19</v>
      </c>
      <c r="D7" s="4" t="s">
        <v>20</v>
      </c>
      <c r="E7" s="4" t="s">
        <v>21</v>
      </c>
      <c r="F7" s="4" t="s">
        <v>22</v>
      </c>
    </row>
    <row r="8" customFormat="false" ht="15" hidden="false" customHeight="false" outlineLevel="0" collapsed="false">
      <c r="A8" s="4" t="s">
        <v>26</v>
      </c>
      <c r="B8" s="5" t="n">
        <v>-108.393</v>
      </c>
      <c r="C8" s="4" t="s">
        <v>19</v>
      </c>
      <c r="D8" s="4" t="s">
        <v>20</v>
      </c>
      <c r="E8" s="4" t="s">
        <v>27</v>
      </c>
      <c r="F8" s="4" t="s">
        <v>28</v>
      </c>
    </row>
    <row r="9" customFormat="false" ht="15" hidden="false" customHeight="false" outlineLevel="0" collapsed="false">
      <c r="A9" s="4" t="s">
        <v>29</v>
      </c>
      <c r="B9" s="5" t="n">
        <v>-69.275</v>
      </c>
      <c r="C9" s="4" t="s">
        <v>19</v>
      </c>
      <c r="D9" s="4" t="s">
        <v>20</v>
      </c>
      <c r="E9" s="4" t="s">
        <v>27</v>
      </c>
      <c r="F9" s="4" t="s">
        <v>28</v>
      </c>
    </row>
    <row r="10" customFormat="false" ht="15" hidden="false" customHeight="false" outlineLevel="0" collapsed="false">
      <c r="A10" s="4" t="s">
        <v>30</v>
      </c>
      <c r="B10" s="5" t="n">
        <v>55.768</v>
      </c>
      <c r="C10" s="4" t="s">
        <v>19</v>
      </c>
      <c r="D10" s="4" t="s">
        <v>20</v>
      </c>
      <c r="E10" s="4" t="s">
        <v>21</v>
      </c>
      <c r="F10" s="4" t="s">
        <v>31</v>
      </c>
    </row>
    <row r="11" customFormat="false" ht="15" hidden="false" customHeight="false" outlineLevel="0" collapsed="false">
      <c r="A11" s="4" t="s">
        <v>32</v>
      </c>
      <c r="B11" s="5" t="n">
        <v>49.086</v>
      </c>
      <c r="C11" s="4" t="s">
        <v>19</v>
      </c>
      <c r="D11" s="4" t="s">
        <v>20</v>
      </c>
      <c r="E11" s="4" t="s">
        <v>21</v>
      </c>
      <c r="F11" s="4" t="s">
        <v>31</v>
      </c>
    </row>
    <row r="12" customFormat="false" ht="15" hidden="false" customHeight="false" outlineLevel="0" collapsed="false">
      <c r="A12" s="4" t="s">
        <v>33</v>
      </c>
      <c r="B12" s="5" t="n">
        <v>0</v>
      </c>
      <c r="C12" s="4" t="s">
        <v>19</v>
      </c>
      <c r="D12" s="4" t="s">
        <v>20</v>
      </c>
      <c r="E12" s="4" t="s">
        <v>21</v>
      </c>
      <c r="F12" s="4"/>
    </row>
    <row r="13" customFormat="false" ht="15" hidden="false" customHeight="false" outlineLevel="0" collapsed="false">
      <c r="A13" s="4" t="s">
        <v>34</v>
      </c>
      <c r="B13" s="5" t="n">
        <v>8.098</v>
      </c>
      <c r="C13" s="4" t="s">
        <v>19</v>
      </c>
      <c r="D13" s="4" t="s">
        <v>20</v>
      </c>
      <c r="E13" s="4" t="s">
        <v>21</v>
      </c>
      <c r="F13" s="4" t="s">
        <v>35</v>
      </c>
    </row>
    <row r="14" customFormat="false" ht="15" hidden="false" customHeight="false" outlineLevel="0" collapsed="false">
      <c r="A14" s="4" t="s">
        <v>36</v>
      </c>
      <c r="B14" s="5" t="n">
        <v>-100.254</v>
      </c>
      <c r="C14" s="4" t="s">
        <v>19</v>
      </c>
      <c r="D14" s="4" t="s">
        <v>20</v>
      </c>
      <c r="E14" s="4" t="s">
        <v>27</v>
      </c>
      <c r="F14" s="4"/>
    </row>
    <row r="15" customFormat="false" ht="15" hidden="false" customHeight="false" outlineLevel="0" collapsed="false">
      <c r="A15" s="4" t="s">
        <v>37</v>
      </c>
      <c r="B15" s="5" t="n">
        <v>-84.838</v>
      </c>
      <c r="C15" s="4" t="s">
        <v>19</v>
      </c>
      <c r="D15" s="4" t="s">
        <v>20</v>
      </c>
      <c r="E15" s="4" t="s">
        <v>27</v>
      </c>
      <c r="F15" s="4" t="s">
        <v>38</v>
      </c>
    </row>
    <row r="16" customFormat="false" ht="15" hidden="false" customHeight="false" outlineLevel="0" collapsed="false">
      <c r="A16" s="4" t="s">
        <v>39</v>
      </c>
      <c r="B16" s="5" t="n">
        <v>435.81</v>
      </c>
      <c r="C16" s="4" t="s">
        <v>19</v>
      </c>
      <c r="D16" s="4" t="s">
        <v>20</v>
      </c>
      <c r="E16" s="4" t="s">
        <v>21</v>
      </c>
      <c r="F16" s="4"/>
    </row>
    <row r="17" customFormat="false" ht="15" hidden="false" customHeight="false" outlineLevel="0" collapsed="false">
      <c r="A17" s="4" t="s">
        <v>40</v>
      </c>
      <c r="B17" s="5" t="n">
        <v>401.176</v>
      </c>
      <c r="C17" s="4" t="s">
        <v>19</v>
      </c>
      <c r="D17" s="4" t="s">
        <v>20</v>
      </c>
      <c r="E17" s="4" t="s">
        <v>21</v>
      </c>
      <c r="F17" s="4"/>
    </row>
    <row r="18" customFormat="false" ht="15" hidden="false" customHeight="false" outlineLevel="0" collapsed="false">
      <c r="A18" s="4" t="s">
        <v>41</v>
      </c>
      <c r="B18" s="5" t="n">
        <v>830.734</v>
      </c>
      <c r="C18" s="4" t="s">
        <v>19</v>
      </c>
      <c r="D18" s="4" t="s">
        <v>20</v>
      </c>
      <c r="E18" s="4" t="s">
        <v>21</v>
      </c>
      <c r="F18" s="4"/>
    </row>
    <row r="19" customFormat="false" ht="15" hidden="false" customHeight="false" outlineLevel="0" collapsed="false">
      <c r="A19" s="4" t="s">
        <v>42</v>
      </c>
      <c r="B19" s="5" t="n">
        <v>811.946</v>
      </c>
      <c r="C19" s="4" t="s">
        <v>19</v>
      </c>
      <c r="D19" s="4" t="s">
        <v>20</v>
      </c>
      <c r="E19" s="4" t="s">
        <v>21</v>
      </c>
      <c r="F19" s="4" t="s">
        <v>43</v>
      </c>
    </row>
    <row r="20" customFormat="false" ht="15" hidden="false" customHeight="false" outlineLevel="0" collapsed="false">
      <c r="A20" s="4" t="s">
        <v>44</v>
      </c>
      <c r="B20" s="5" t="n">
        <v>11.17</v>
      </c>
      <c r="C20" s="4" t="s">
        <v>45</v>
      </c>
      <c r="D20" s="4" t="s">
        <v>46</v>
      </c>
      <c r="E20" s="4" t="s">
        <v>21</v>
      </c>
      <c r="F20" s="4" t="s">
        <v>47</v>
      </c>
    </row>
    <row r="21" customFormat="false" ht="15" hidden="false" customHeight="false" outlineLevel="0" collapsed="false">
      <c r="A21" s="4" t="s">
        <v>48</v>
      </c>
      <c r="B21" s="5" t="n">
        <v>32.5</v>
      </c>
      <c r="C21" s="4" t="s">
        <v>45</v>
      </c>
      <c r="D21" s="4" t="s">
        <v>46</v>
      </c>
      <c r="E21" s="4" t="s">
        <v>21</v>
      </c>
      <c r="F21" s="4" t="s">
        <v>49</v>
      </c>
    </row>
    <row r="22" customFormat="false" ht="15" hidden="false" customHeight="false" outlineLevel="0" collapsed="false">
      <c r="A22" s="4" t="s">
        <v>50</v>
      </c>
      <c r="B22" s="5" t="n">
        <v>21.33</v>
      </c>
      <c r="C22" s="4" t="s">
        <v>45</v>
      </c>
      <c r="D22" s="4" t="s">
        <v>46</v>
      </c>
      <c r="E22" s="4" t="s">
        <v>21</v>
      </c>
      <c r="F22" s="4" t="s">
        <v>49</v>
      </c>
    </row>
    <row r="23" customFormat="false" ht="15" hidden="false" customHeight="false" outlineLevel="0" collapsed="false">
      <c r="A23" s="3" t="s">
        <v>51</v>
      </c>
      <c r="B23" s="6" t="n">
        <v>0.22</v>
      </c>
      <c r="C23" s="3" t="s">
        <v>52</v>
      </c>
      <c r="D23" s="3" t="s">
        <v>53</v>
      </c>
      <c r="E23" s="3" t="s">
        <v>54</v>
      </c>
      <c r="F23" s="3" t="s">
        <v>55</v>
      </c>
    </row>
    <row r="24" customFormat="false" ht="15" hidden="false" customHeight="false" outlineLevel="0" collapsed="false">
      <c r="A24" s="3" t="s">
        <v>56</v>
      </c>
      <c r="B24" s="7" t="n">
        <v>4</v>
      </c>
      <c r="C24" s="3" t="s">
        <v>57</v>
      </c>
      <c r="D24" s="3" t="s">
        <v>58</v>
      </c>
      <c r="E24" s="3" t="s">
        <v>54</v>
      </c>
      <c r="F24" s="3" t="s">
        <v>59</v>
      </c>
    </row>
    <row r="25" customFormat="false" ht="15" hidden="false" customHeight="false" outlineLevel="0" collapsed="false">
      <c r="A25" s="3" t="s">
        <v>60</v>
      </c>
      <c r="B25" s="7" t="n">
        <v>4.5</v>
      </c>
      <c r="C25" s="3" t="s">
        <v>57</v>
      </c>
      <c r="D25" s="3" t="s">
        <v>58</v>
      </c>
      <c r="E25" s="3" t="s">
        <v>54</v>
      </c>
      <c r="F25" s="3"/>
    </row>
    <row r="26" customFormat="false" ht="15" hidden="false" customHeight="false" outlineLevel="0" collapsed="false">
      <c r="A26" s="3" t="s">
        <v>61</v>
      </c>
      <c r="B26" s="7" t="n">
        <v>5</v>
      </c>
      <c r="C26" s="3" t="s">
        <v>57</v>
      </c>
      <c r="D26" s="3" t="s">
        <v>58</v>
      </c>
      <c r="E26" s="3" t="s">
        <v>54</v>
      </c>
      <c r="F26" s="3"/>
    </row>
    <row r="27" customFormat="false" ht="15" hidden="false" customHeight="false" outlineLevel="0" collapsed="false">
      <c r="A27" s="3" t="s">
        <v>62</v>
      </c>
      <c r="B27" s="6" t="n">
        <v>0.125</v>
      </c>
      <c r="C27" s="3" t="s">
        <v>52</v>
      </c>
      <c r="D27" s="3" t="s">
        <v>63</v>
      </c>
      <c r="E27" s="3" t="s">
        <v>54</v>
      </c>
      <c r="F27" s="3" t="s">
        <v>64</v>
      </c>
    </row>
    <row r="28" customFormat="false" ht="15" hidden="false" customHeight="false" outlineLevel="0" collapsed="false">
      <c r="A28" s="3" t="s">
        <v>65</v>
      </c>
      <c r="B28" s="7" t="n">
        <v>34</v>
      </c>
      <c r="C28" s="3" t="s">
        <v>45</v>
      </c>
      <c r="D28" s="3" t="s">
        <v>66</v>
      </c>
      <c r="E28" s="3" t="s">
        <v>54</v>
      </c>
      <c r="F28" s="3" t="s">
        <v>67</v>
      </c>
    </row>
    <row r="29" customFormat="false" ht="15" hidden="false" customHeight="false" outlineLevel="0" collapsed="false">
      <c r="A29" s="4" t="s">
        <v>68</v>
      </c>
      <c r="B29" s="5" t="n">
        <v>15.276527</v>
      </c>
      <c r="C29" s="4" t="s">
        <v>69</v>
      </c>
      <c r="D29" s="4" t="s">
        <v>70</v>
      </c>
      <c r="E29" s="4" t="s">
        <v>21</v>
      </c>
      <c r="F29" s="4" t="s">
        <v>71</v>
      </c>
    </row>
    <row r="30" customFormat="false" ht="15" hidden="false" customHeight="false" outlineLevel="0" collapsed="false">
      <c r="A30" s="4" t="s">
        <v>72</v>
      </c>
      <c r="B30" s="5" t="n">
        <v>6.723473</v>
      </c>
      <c r="C30" s="4" t="s">
        <v>69</v>
      </c>
      <c r="D30" s="4" t="s">
        <v>70</v>
      </c>
      <c r="E30" s="4" t="s">
        <v>21</v>
      </c>
      <c r="F30" s="4" t="s">
        <v>73</v>
      </c>
    </row>
    <row r="31" customFormat="false" ht="15" hidden="false" customHeight="false" outlineLevel="0" collapsed="false">
      <c r="A31" s="4" t="s">
        <v>74</v>
      </c>
      <c r="B31" s="5" t="n">
        <v>3.3</v>
      </c>
      <c r="C31" s="4" t="s">
        <v>69</v>
      </c>
      <c r="D31" s="4" t="s">
        <v>70</v>
      </c>
      <c r="E31" s="4" t="s">
        <v>21</v>
      </c>
      <c r="F31" s="4" t="s">
        <v>75</v>
      </c>
    </row>
    <row r="32" customFormat="false" ht="15" hidden="false" customHeight="false" outlineLevel="0" collapsed="false">
      <c r="A32" s="3" t="s">
        <v>76</v>
      </c>
      <c r="B32" s="7" t="n">
        <v>143.716563</v>
      </c>
      <c r="C32" s="3" t="s">
        <v>69</v>
      </c>
      <c r="D32" s="3" t="s">
        <v>77</v>
      </c>
      <c r="E32" s="3" t="s">
        <v>54</v>
      </c>
      <c r="F32" s="3" t="s">
        <v>78</v>
      </c>
    </row>
    <row r="33" customFormat="false" ht="15" hidden="false" customHeight="false" outlineLevel="0" collapsed="false">
      <c r="A33" s="3" t="s">
        <v>79</v>
      </c>
      <c r="B33" s="6" t="n">
        <v>0.05</v>
      </c>
      <c r="C33" s="3" t="s">
        <v>52</v>
      </c>
      <c r="D33" s="3" t="s">
        <v>80</v>
      </c>
      <c r="E33" s="3" t="s">
        <v>54</v>
      </c>
      <c r="F33" s="3" t="s">
        <v>81</v>
      </c>
    </row>
    <row r="34" customFormat="false" ht="15" hidden="false" customHeight="false" outlineLevel="0" collapsed="false">
      <c r="A34" s="3" t="s">
        <v>82</v>
      </c>
      <c r="B34" s="7" t="n">
        <v>7</v>
      </c>
      <c r="C34" s="3" t="s">
        <v>19</v>
      </c>
      <c r="D34" s="3" t="s">
        <v>66</v>
      </c>
      <c r="E34" s="3" t="s">
        <v>54</v>
      </c>
      <c r="F34" s="3" t="s">
        <v>83</v>
      </c>
    </row>
    <row r="35" customFormat="false" ht="15" hidden="false" customHeight="false" outlineLevel="0" collapsed="false">
      <c r="A35" s="4" t="s">
        <v>84</v>
      </c>
      <c r="B35" s="5" t="n">
        <v>31</v>
      </c>
      <c r="C35" s="4" t="s">
        <v>45</v>
      </c>
      <c r="D35" s="4" t="s">
        <v>70</v>
      </c>
      <c r="E35" s="4" t="s">
        <v>21</v>
      </c>
      <c r="F35" s="4" t="s">
        <v>85</v>
      </c>
    </row>
    <row r="36" customFormat="false" ht="15" hidden="false" customHeight="false" outlineLevel="0" collapsed="false">
      <c r="A36" s="4" t="s">
        <v>86</v>
      </c>
      <c r="B36" s="5" t="n">
        <v>34</v>
      </c>
      <c r="C36" s="4" t="s">
        <v>45</v>
      </c>
      <c r="D36" s="4" t="s">
        <v>70</v>
      </c>
      <c r="E36" s="4" t="s">
        <v>21</v>
      </c>
      <c r="F36" s="4" t="s">
        <v>85</v>
      </c>
    </row>
  </sheetData>
  <autoFilter ref="A1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25"/>
    <col collapsed="false" customWidth="true" hidden="false" outlineLevel="0" max="5" min="5" style="0" width="37"/>
    <col collapsed="false" customWidth="true" hidden="false" outlineLevel="0" max="6" min="6" style="0" width="31"/>
  </cols>
  <sheetData>
    <row r="1" customFormat="false" ht="30" hidden="false" customHeight="true" outlineLevel="0" collapsed="false">
      <c r="A1" s="1" t="s">
        <v>87</v>
      </c>
      <c r="B1" s="1" t="s">
        <v>88</v>
      </c>
      <c r="C1" s="1" t="s">
        <v>89</v>
      </c>
      <c r="D1" s="1" t="s">
        <v>2</v>
      </c>
      <c r="E1" s="1" t="s">
        <v>90</v>
      </c>
      <c r="F1" s="1" t="s">
        <v>91</v>
      </c>
    </row>
    <row r="2" customFormat="false" ht="15" hidden="false" customHeight="false" outlineLevel="0" collapsed="false">
      <c r="A2" s="8" t="s">
        <v>92</v>
      </c>
      <c r="B2" s="9" t="n">
        <f aca="false">Inputs!B4</f>
        <v>666.701</v>
      </c>
      <c r="C2" s="9" t="n">
        <f aca="false">Inputs!B5</f>
        <v>804.029</v>
      </c>
      <c r="D2" s="9" t="s">
        <v>19</v>
      </c>
      <c r="E2" s="8" t="s">
        <v>93</v>
      </c>
      <c r="F2" s="8" t="s">
        <v>20</v>
      </c>
    </row>
    <row r="3" customFormat="false" ht="15" hidden="false" customHeight="false" outlineLevel="0" collapsed="false">
      <c r="A3" s="8" t="s">
        <v>94</v>
      </c>
      <c r="B3" s="9"/>
      <c r="C3" s="10" t="n">
        <f aca="false">C2/B2-1</f>
        <v>0.205981391958314</v>
      </c>
      <c r="D3" s="9" t="s">
        <v>52</v>
      </c>
      <c r="E3" s="8" t="s">
        <v>95</v>
      </c>
      <c r="F3" s="8" t="s">
        <v>96</v>
      </c>
    </row>
    <row r="4" customFormat="false" ht="15" hidden="false" customHeight="false" outlineLevel="0" collapsed="false">
      <c r="A4" s="8" t="s">
        <v>97</v>
      </c>
      <c r="B4" s="9" t="n">
        <f aca="false">Inputs!B6</f>
        <v>-158.55</v>
      </c>
      <c r="C4" s="9" t="n">
        <f aca="false">Inputs!B7</f>
        <v>-90.824</v>
      </c>
      <c r="D4" s="9" t="s">
        <v>19</v>
      </c>
      <c r="E4" s="8" t="s">
        <v>93</v>
      </c>
      <c r="F4" s="8" t="s">
        <v>20</v>
      </c>
    </row>
    <row r="5" customFormat="false" ht="15" hidden="false" customHeight="false" outlineLevel="0" collapsed="false">
      <c r="A5" s="8" t="s">
        <v>98</v>
      </c>
      <c r="B5" s="9" t="n">
        <f aca="false">Inputs!B8</f>
        <v>-108.393</v>
      </c>
      <c r="C5" s="9" t="n">
        <f aca="false">Inputs!B9</f>
        <v>-69.275</v>
      </c>
      <c r="D5" s="9" t="s">
        <v>19</v>
      </c>
      <c r="E5" s="8" t="s">
        <v>99</v>
      </c>
      <c r="F5" s="8" t="s">
        <v>100</v>
      </c>
    </row>
    <row r="6" customFormat="false" ht="15" hidden="false" customHeight="false" outlineLevel="0" collapsed="false">
      <c r="A6" s="8" t="s">
        <v>101</v>
      </c>
      <c r="B6" s="9" t="n">
        <f aca="false">-Inputs!B10</f>
        <v>-55.768</v>
      </c>
      <c r="C6" s="9" t="n">
        <f aca="false">-Inputs!B11</f>
        <v>-49.086</v>
      </c>
      <c r="D6" s="9" t="s">
        <v>19</v>
      </c>
      <c r="E6" s="8" t="s">
        <v>102</v>
      </c>
      <c r="F6" s="8" t="s">
        <v>103</v>
      </c>
    </row>
    <row r="7" customFormat="false" ht="15" hidden="false" customHeight="false" outlineLevel="0" collapsed="false">
      <c r="A7" s="8" t="s">
        <v>104</v>
      </c>
      <c r="B7" s="9" t="n">
        <v>0</v>
      </c>
      <c r="C7" s="9" t="n">
        <v>0</v>
      </c>
      <c r="D7" s="9" t="s">
        <v>19</v>
      </c>
      <c r="E7" s="8" t="s">
        <v>105</v>
      </c>
      <c r="F7" s="8" t="s">
        <v>106</v>
      </c>
    </row>
    <row r="8" customFormat="false" ht="15" hidden="false" customHeight="false" outlineLevel="0" collapsed="false">
      <c r="A8" s="8" t="s">
        <v>107</v>
      </c>
      <c r="B8" s="9" t="n">
        <f aca="false">B5+B6+B7</f>
        <v>-164.161</v>
      </c>
      <c r="C8" s="9" t="n">
        <f aca="false">C5+C6+C7</f>
        <v>-118.361</v>
      </c>
      <c r="D8" s="9" t="s">
        <v>19</v>
      </c>
      <c r="E8" s="8" t="s">
        <v>108</v>
      </c>
      <c r="F8" s="8" t="s">
        <v>109</v>
      </c>
    </row>
    <row r="9" customFormat="false" ht="15" hidden="false" customHeight="false" outlineLevel="0" collapsed="false">
      <c r="A9" s="8" t="s">
        <v>110</v>
      </c>
      <c r="B9" s="9" t="n">
        <f aca="false">Inputs!B14</f>
        <v>-100.254</v>
      </c>
      <c r="C9" s="9" t="n">
        <f aca="false">Inputs!B15</f>
        <v>-84.838</v>
      </c>
      <c r="D9" s="9" t="s">
        <v>19</v>
      </c>
      <c r="E9" s="8" t="s">
        <v>108</v>
      </c>
      <c r="F9" s="8" t="s">
        <v>111</v>
      </c>
    </row>
    <row r="10" customFormat="false" ht="15" hidden="false" customHeight="false" outlineLevel="0" collapsed="false">
      <c r="A10" s="8" t="s">
        <v>112</v>
      </c>
      <c r="B10" s="9" t="n">
        <f aca="false">Inputs!B16</f>
        <v>435.81</v>
      </c>
      <c r="C10" s="9" t="n">
        <f aca="false">Inputs!B17</f>
        <v>401.176</v>
      </c>
      <c r="D10" s="9" t="s">
        <v>19</v>
      </c>
      <c r="E10" s="8"/>
      <c r="F10" s="8" t="s">
        <v>20</v>
      </c>
    </row>
    <row r="11" customFormat="false" ht="15" hidden="false" customHeight="false" outlineLevel="0" collapsed="false">
      <c r="A11" s="8" t="s">
        <v>113</v>
      </c>
      <c r="B11" s="9" t="n">
        <f aca="false">Inputs!B18</f>
        <v>830.734</v>
      </c>
      <c r="C11" s="9" t="n">
        <f aca="false">Inputs!B19</f>
        <v>811.946</v>
      </c>
      <c r="D11" s="9" t="s">
        <v>19</v>
      </c>
      <c r="E11" s="8"/>
      <c r="F11" s="8" t="s">
        <v>20</v>
      </c>
    </row>
    <row r="12" customFormat="false" ht="15" hidden="false" customHeight="false" outlineLevel="0" collapsed="false">
      <c r="A12" s="8" t="s">
        <v>114</v>
      </c>
      <c r="B12" s="9" t="n">
        <f aca="false">B10+B11</f>
        <v>1266.544</v>
      </c>
      <c r="C12" s="9" t="n">
        <f aca="false">C10+C11</f>
        <v>1213.122</v>
      </c>
      <c r="D12" s="9" t="s">
        <v>19</v>
      </c>
      <c r="E12" s="8" t="s">
        <v>115</v>
      </c>
      <c r="F12" s="8" t="s">
        <v>116</v>
      </c>
    </row>
    <row r="13" customFormat="false" ht="15" hidden="false" customHeight="false" outlineLevel="0" collapsed="false">
      <c r="A13" s="8"/>
      <c r="B13" s="9"/>
      <c r="C13" s="9"/>
      <c r="D13" s="9"/>
      <c r="E13" s="8"/>
      <c r="F13" s="8"/>
    </row>
    <row r="14" customFormat="false" ht="15" hidden="false" customHeight="false" outlineLevel="0" collapsed="false">
      <c r="A14" s="8" t="s">
        <v>117</v>
      </c>
      <c r="B14" s="9" t="s">
        <v>96</v>
      </c>
      <c r="C14" s="9" t="s">
        <v>118</v>
      </c>
      <c r="D14" s="9" t="s">
        <v>119</v>
      </c>
      <c r="E14" s="8" t="s">
        <v>120</v>
      </c>
      <c r="F14" s="8" t="s">
        <v>121</v>
      </c>
    </row>
    <row r="15" customFormat="false" ht="15" hidden="false" customHeight="false" outlineLevel="0" collapsed="false">
      <c r="A15" s="8" t="s">
        <v>122</v>
      </c>
      <c r="B15" s="9" t="n">
        <v>666.701</v>
      </c>
      <c r="C15" s="9" t="n">
        <v>666.701</v>
      </c>
      <c r="D15" s="9" t="n">
        <v>-1.13686837721616E-013</v>
      </c>
      <c r="E15" s="8" t="s">
        <v>123</v>
      </c>
      <c r="F15" s="8" t="s">
        <v>124</v>
      </c>
    </row>
    <row r="16" customFormat="false" ht="15" hidden="false" customHeight="false" outlineLevel="0" collapsed="false">
      <c r="A16" s="8" t="s">
        <v>125</v>
      </c>
      <c r="B16" s="9" t="n">
        <v>804.029</v>
      </c>
      <c r="C16" s="9" t="n">
        <v>804.029</v>
      </c>
      <c r="D16" s="9" t="n">
        <v>0</v>
      </c>
      <c r="E16" s="8" t="s">
        <v>126</v>
      </c>
      <c r="F16" s="8" t="s">
        <v>124</v>
      </c>
    </row>
    <row r="17" customFormat="false" ht="15" hidden="false" customHeight="false" outlineLevel="0" collapsed="false">
      <c r="A17" s="8" t="s">
        <v>127</v>
      </c>
      <c r="B17" s="9" t="n">
        <v>804.029</v>
      </c>
      <c r="C17" s="9" t="n">
        <v>804.029</v>
      </c>
      <c r="D17" s="9" t="n">
        <v>0</v>
      </c>
      <c r="E17" s="8" t="s">
        <v>128</v>
      </c>
      <c r="F17" s="8" t="s">
        <v>129</v>
      </c>
    </row>
    <row r="18" customFormat="false" ht="15" hidden="false" customHeight="false" outlineLevel="0" collapsed="false">
      <c r="A18" s="8" t="s">
        <v>130</v>
      </c>
      <c r="B18" s="9" t="n">
        <v>666.701</v>
      </c>
      <c r="C18" s="9" t="n">
        <v>666.701</v>
      </c>
      <c r="D18" s="9" t="n">
        <v>0</v>
      </c>
      <c r="E18" s="8" t="s">
        <v>128</v>
      </c>
      <c r="F18" s="8" t="s">
        <v>131</v>
      </c>
    </row>
    <row r="19" customFormat="false" ht="15" hidden="false" customHeight="false" outlineLevel="0" collapsed="false">
      <c r="A19" s="8" t="s">
        <v>132</v>
      </c>
      <c r="B19" s="9" t="n">
        <v>804.029</v>
      </c>
      <c r="C19" s="9" t="n">
        <v>804.029</v>
      </c>
      <c r="D19" s="9" t="n">
        <v>0</v>
      </c>
      <c r="E19" s="8" t="s">
        <v>128</v>
      </c>
      <c r="F19" s="8" t="s">
        <v>131</v>
      </c>
    </row>
    <row r="20" customFormat="false" ht="15" hidden="false" customHeight="false" outlineLevel="0" collapsed="false">
      <c r="A20" s="8" t="s">
        <v>133</v>
      </c>
      <c r="B20" s="9" t="n">
        <v>666.701</v>
      </c>
      <c r="C20" s="9" t="n">
        <v>666.701</v>
      </c>
      <c r="D20" s="9" t="n">
        <v>0</v>
      </c>
      <c r="E20" s="8" t="s">
        <v>128</v>
      </c>
      <c r="F20" s="8" t="s">
        <v>134</v>
      </c>
    </row>
    <row r="21" customFormat="false" ht="15" hidden="false" customHeight="false" outlineLevel="0" collapsed="false">
      <c r="A21" s="8" t="s">
        <v>135</v>
      </c>
      <c r="B21" s="9" t="n">
        <v>804.029</v>
      </c>
      <c r="C21" s="9" t="n">
        <v>804.029</v>
      </c>
      <c r="D21" s="9" t="n">
        <v>0</v>
      </c>
      <c r="E21" s="8" t="s">
        <v>128</v>
      </c>
      <c r="F21" s="8" t="s">
        <v>134</v>
      </c>
    </row>
    <row r="22" customFormat="false" ht="15" hidden="false" customHeight="false" outlineLevel="0" collapsed="false">
      <c r="A22" s="8" t="s">
        <v>136</v>
      </c>
      <c r="B22" s="9" t="n">
        <v>49.086</v>
      </c>
      <c r="C22" s="9" t="n">
        <v>49.086</v>
      </c>
      <c r="D22" s="9" t="n">
        <v>0</v>
      </c>
      <c r="E22" s="8" t="s">
        <v>128</v>
      </c>
      <c r="F22" s="8" t="s">
        <v>137</v>
      </c>
    </row>
    <row r="23" customFormat="false" ht="15" hidden="false" customHeight="false" outlineLevel="0" collapsed="false">
      <c r="A23" s="8" t="s">
        <v>138</v>
      </c>
      <c r="B23" s="9" t="n">
        <v>8.098</v>
      </c>
      <c r="C23" s="9" t="n">
        <v>8.098</v>
      </c>
      <c r="D23" s="9" t="n">
        <v>-1.77635683940025E-015</v>
      </c>
      <c r="E23" s="8" t="s">
        <v>139</v>
      </c>
      <c r="F23" s="8" t="s">
        <v>140</v>
      </c>
    </row>
    <row r="24" customFormat="false" ht="15" hidden="false" customHeight="false" outlineLevel="0" collapsed="false">
      <c r="A24" s="8" t="s">
        <v>141</v>
      </c>
      <c r="B24" s="9" t="n">
        <v>-84.838</v>
      </c>
      <c r="C24" s="9" t="n">
        <v>-84.838</v>
      </c>
      <c r="D24" s="9" t="n">
        <v>0</v>
      </c>
      <c r="E24" s="8" t="s">
        <v>142</v>
      </c>
      <c r="F24" s="8" t="s">
        <v>143</v>
      </c>
    </row>
    <row r="25" customFormat="false" ht="15" hidden="false" customHeight="false" outlineLevel="0" collapsed="false">
      <c r="A25" s="8" t="s">
        <v>144</v>
      </c>
      <c r="B25" s="9" t="n">
        <v>-34.634</v>
      </c>
      <c r="C25" s="9" t="n">
        <v>-34.634</v>
      </c>
      <c r="D25" s="9" t="n">
        <v>-1.4210854715202E-014</v>
      </c>
      <c r="E25" s="8" t="s">
        <v>128</v>
      </c>
      <c r="F25" s="8" t="s">
        <v>145</v>
      </c>
    </row>
    <row r="26" customFormat="false" ht="15" hidden="false" customHeight="false" outlineLevel="0" collapsed="false">
      <c r="A26" s="8" t="s">
        <v>146</v>
      </c>
      <c r="B26" s="9" t="n">
        <v>-90.824</v>
      </c>
      <c r="C26" s="9" t="n">
        <v>-90.824</v>
      </c>
      <c r="D26" s="9" t="n">
        <v>-1.4210854715202E-014</v>
      </c>
      <c r="E26" s="8" t="s">
        <v>147</v>
      </c>
      <c r="F26" s="8" t="s">
        <v>148</v>
      </c>
    </row>
  </sheetData>
  <autoFilter ref="A1:F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7"/>
    <col collapsed="false" customWidth="true" hidden="false" outlineLevel="0" max="4" min="3" style="0" width="13"/>
    <col collapsed="false" customWidth="true" hidden="false" outlineLevel="0" max="5" min="5" style="0" width="42"/>
  </cols>
  <sheetData>
    <row r="1" customFormat="false" ht="30" hidden="false" customHeight="true" outlineLevel="0" collapsed="false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</row>
    <row r="2" customFormat="false" ht="15" hidden="false" customHeight="false" outlineLevel="0" collapsed="false">
      <c r="A2" s="8" t="s">
        <v>154</v>
      </c>
      <c r="B2" s="9" t="n">
        <f aca="false">Inputs!B5*(1+Inputs!B23)</f>
        <v>980.91538</v>
      </c>
      <c r="C2" s="9" t="n">
        <f aca="false">B2</f>
        <v>980.91538</v>
      </c>
      <c r="D2" s="9" t="n">
        <f aca="false">B2</f>
        <v>980.91538</v>
      </c>
      <c r="E2" s="8" t="s">
        <v>155</v>
      </c>
    </row>
    <row r="3" customFormat="false" ht="15" hidden="false" customHeight="false" outlineLevel="0" collapsed="false">
      <c r="A3" s="8" t="s">
        <v>156</v>
      </c>
      <c r="B3" s="9" t="n">
        <f aca="false">Inputs!B24</f>
        <v>4</v>
      </c>
      <c r="C3" s="9" t="n">
        <f aca="false">Inputs!B25</f>
        <v>4.5</v>
      </c>
      <c r="D3" s="9" t="n">
        <f aca="false">Inputs!B26</f>
        <v>5</v>
      </c>
      <c r="E3" s="8" t="s">
        <v>157</v>
      </c>
    </row>
    <row r="4" customFormat="false" ht="15" hidden="false" customHeight="false" outlineLevel="0" collapsed="false">
      <c r="A4" s="8" t="s">
        <v>158</v>
      </c>
      <c r="B4" s="9" t="n">
        <f aca="false">B2*B3</f>
        <v>3923.66152</v>
      </c>
      <c r="C4" s="9" t="n">
        <f aca="false">C2*C3</f>
        <v>4414.11921</v>
      </c>
      <c r="D4" s="9" t="n">
        <f aca="false">D2*D3</f>
        <v>4904.5769</v>
      </c>
      <c r="E4" s="8" t="s">
        <v>19</v>
      </c>
    </row>
    <row r="5" customFormat="false" ht="15" hidden="false" customHeight="false" outlineLevel="0" collapsed="false">
      <c r="A5" s="8" t="s">
        <v>159</v>
      </c>
      <c r="B5" s="9" t="n">
        <f aca="false">Inputs!B17</f>
        <v>401.176</v>
      </c>
      <c r="C5" s="9" t="n">
        <f aca="false">B5</f>
        <v>401.176</v>
      </c>
      <c r="D5" s="9" t="n">
        <f aca="false">B5</f>
        <v>401.176</v>
      </c>
      <c r="E5" s="8" t="s">
        <v>19</v>
      </c>
    </row>
    <row r="6" customFormat="false" ht="15" hidden="false" customHeight="false" outlineLevel="0" collapsed="false">
      <c r="A6" s="8" t="s">
        <v>160</v>
      </c>
      <c r="B6" s="9" t="n">
        <f aca="false">Inputs!B19</f>
        <v>811.946</v>
      </c>
      <c r="C6" s="9" t="n">
        <f aca="false">B6</f>
        <v>811.946</v>
      </c>
      <c r="D6" s="9" t="n">
        <f aca="false">B6</f>
        <v>811.946</v>
      </c>
      <c r="E6" s="8" t="s">
        <v>19</v>
      </c>
    </row>
    <row r="7" customFormat="false" ht="15" hidden="false" customHeight="false" outlineLevel="0" collapsed="false">
      <c r="A7" s="8" t="s">
        <v>161</v>
      </c>
      <c r="B7" s="9" t="n">
        <f aca="false">SUM(B4:B6)</f>
        <v>5136.78352</v>
      </c>
      <c r="C7" s="9" t="n">
        <f aca="false">SUM(C4:C6)</f>
        <v>5627.24121</v>
      </c>
      <c r="D7" s="9" t="n">
        <f aca="false">SUM(D4:D6)</f>
        <v>6117.6989</v>
      </c>
      <c r="E7" s="8" t="s">
        <v>19</v>
      </c>
    </row>
    <row r="8" customFormat="false" ht="15" hidden="false" customHeight="false" outlineLevel="0" collapsed="false">
      <c r="A8" s="8" t="s">
        <v>76</v>
      </c>
      <c r="B8" s="9" t="n">
        <f aca="false">Inputs!B32</f>
        <v>143.716563</v>
      </c>
      <c r="C8" s="9" t="n">
        <f aca="false">B8</f>
        <v>143.716563</v>
      </c>
      <c r="D8" s="9" t="n">
        <f aca="false">B8</f>
        <v>143.716563</v>
      </c>
      <c r="E8" s="8" t="s">
        <v>69</v>
      </c>
    </row>
    <row r="9" customFormat="false" ht="15" hidden="false" customHeight="false" outlineLevel="0" collapsed="false">
      <c r="A9" s="8" t="s">
        <v>162</v>
      </c>
      <c r="B9" s="9" t="n">
        <f aca="false">B7/B8</f>
        <v>35.7424601087907</v>
      </c>
      <c r="C9" s="9" t="n">
        <f aca="false">C7/C8</f>
        <v>39.1551334970347</v>
      </c>
      <c r="D9" s="9" t="n">
        <f aca="false">D7/D8</f>
        <v>42.5678068852788</v>
      </c>
      <c r="E9" s="8" t="s">
        <v>45</v>
      </c>
    </row>
    <row r="10" customFormat="false" ht="15" hidden="false" customHeight="false" outlineLevel="0" collapsed="false">
      <c r="A10" s="8" t="s">
        <v>163</v>
      </c>
      <c r="B10" s="10" t="n">
        <f aca="false">Inputs!B27</f>
        <v>0.125</v>
      </c>
      <c r="C10" s="10" t="n">
        <f aca="false">B10</f>
        <v>0.125</v>
      </c>
      <c r="D10" s="10" t="n">
        <f aca="false">B10</f>
        <v>0.125</v>
      </c>
      <c r="E10" s="8" t="s">
        <v>164</v>
      </c>
    </row>
    <row r="11" customFormat="false" ht="15" hidden="false" customHeight="false" outlineLevel="0" collapsed="false">
      <c r="A11" s="8" t="s">
        <v>165</v>
      </c>
      <c r="B11" s="9" t="n">
        <f aca="false">B9*(1-B10)</f>
        <v>31.2746525951918</v>
      </c>
      <c r="C11" s="9" t="n">
        <f aca="false">C9*(1-C10)</f>
        <v>34.2607418099054</v>
      </c>
      <c r="D11" s="9" t="n">
        <f aca="false">D9*(1-D10)</f>
        <v>37.2468310246189</v>
      </c>
      <c r="E11" s="8" t="s">
        <v>45</v>
      </c>
    </row>
    <row r="12" customFormat="false" ht="15" hidden="false" customHeight="false" outlineLevel="0" collapsed="false">
      <c r="A12" s="8" t="s">
        <v>166</v>
      </c>
      <c r="B12" s="9" t="n">
        <f aca="false">Inputs!B28</f>
        <v>34</v>
      </c>
      <c r="C12" s="9" t="n">
        <f aca="false">B12</f>
        <v>34</v>
      </c>
      <c r="D12" s="9" t="n">
        <f aca="false">B12</f>
        <v>34</v>
      </c>
      <c r="E12" s="8" t="s">
        <v>167</v>
      </c>
    </row>
    <row r="13" customFormat="false" ht="15" hidden="false" customHeight="false" outlineLevel="0" collapsed="false">
      <c r="A13" s="8" t="s">
        <v>168</v>
      </c>
      <c r="B13" s="9" t="n">
        <f aca="false">B12-B11</f>
        <v>2.72534740480817</v>
      </c>
      <c r="C13" s="9" t="n">
        <f aca="false">C12-C11</f>
        <v>-0.260741809905369</v>
      </c>
      <c r="D13" s="9" t="n">
        <f aca="false">D12-D11</f>
        <v>-3.24683102461893</v>
      </c>
      <c r="E13" s="8" t="s">
        <v>45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7"/>
    <col collapsed="false" customWidth="true" hidden="false" outlineLevel="0" max="6" min="2" style="0" width="55"/>
    <col collapsed="false" customWidth="true" hidden="false" outlineLevel="0" max="7" min="7" style="0" width="28"/>
  </cols>
  <sheetData>
    <row r="1" customFormat="false" ht="30" hidden="false" customHeight="true" outlineLevel="0" collapsed="false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</row>
    <row r="2" customFormat="false" ht="15" hidden="false" customHeight="false" outlineLevel="0" collapsed="false">
      <c r="A2" s="10" t="n">
        <v>0.205981391958314</v>
      </c>
      <c r="B2" s="11" t="n">
        <f aca="false">((Inputs!$B$5*(1+$A2)*4+Inputs!$B$17+Inputs!$B$19)/Inputs!$B$32)*(1-Inputs!$B$27)</f>
        <v>31.0001554523815</v>
      </c>
      <c r="C2" s="11" t="n">
        <f aca="false">((Inputs!$B$5*(1+$A2)*4.25+Inputs!$B$17+Inputs!$B$19)/Inputs!$B$32)*(1-Inputs!$B$27)</f>
        <v>32.4760439883126</v>
      </c>
      <c r="D2" s="11" t="n">
        <f aca="false">((Inputs!$B$5*(1+$A2)*4.5+Inputs!$B$17+Inputs!$B$19)/Inputs!$B$32)*(1-Inputs!$B$27)</f>
        <v>33.9519325242438</v>
      </c>
      <c r="E2" s="11" t="n">
        <f aca="false">((Inputs!$B$5*(1+$A2)*4.75+Inputs!$B$17+Inputs!$B$19)/Inputs!$B$32)*(1-Inputs!$B$27)</f>
        <v>35.4278210601749</v>
      </c>
      <c r="F2" s="11" t="n">
        <f aca="false">((Inputs!$B$5*(1+$A2)*5+Inputs!$B$17+Inputs!$B$19)/Inputs!$B$32)*(1-Inputs!$B$27)</f>
        <v>36.903709596106</v>
      </c>
      <c r="G2" s="8" t="s">
        <v>176</v>
      </c>
    </row>
    <row r="3" customFormat="false" ht="15" hidden="false" customHeight="false" outlineLevel="0" collapsed="false">
      <c r="A3" s="10" t="n">
        <v>0.212990695979157</v>
      </c>
      <c r="B3" s="11" t="n">
        <f aca="false">((Inputs!$B$5*(1+$A3)*4+Inputs!$B$17+Inputs!$B$19)/Inputs!$B$32)*(1-Inputs!$B$27)</f>
        <v>31.1374040237867</v>
      </c>
      <c r="C3" s="11" t="n">
        <f aca="false">((Inputs!$B$5*(1+$A3)*4.25+Inputs!$B$17+Inputs!$B$19)/Inputs!$B$32)*(1-Inputs!$B$27)</f>
        <v>32.6218705954306</v>
      </c>
      <c r="D3" s="11" t="n">
        <f aca="false">((Inputs!$B$5*(1+$A3)*4.5+Inputs!$B$17+Inputs!$B$19)/Inputs!$B$32)*(1-Inputs!$B$27)</f>
        <v>34.1063371670746</v>
      </c>
      <c r="E3" s="11" t="n">
        <f aca="false">((Inputs!$B$5*(1+$A3)*4.75+Inputs!$B$17+Inputs!$B$19)/Inputs!$B$32)*(1-Inputs!$B$27)</f>
        <v>35.5908037387185</v>
      </c>
      <c r="F3" s="11" t="n">
        <f aca="false">((Inputs!$B$5*(1+$A3)*5+Inputs!$B$17+Inputs!$B$19)/Inputs!$B$32)*(1-Inputs!$B$27)</f>
        <v>37.0752703103625</v>
      </c>
      <c r="G3" s="8" t="s">
        <v>177</v>
      </c>
    </row>
    <row r="4" customFormat="false" ht="15" hidden="false" customHeight="false" outlineLevel="0" collapsed="false">
      <c r="A4" s="10" t="n">
        <v>0.22</v>
      </c>
      <c r="B4" s="11" t="n">
        <f aca="false">((Inputs!$B$5*(1+$A4)*4+Inputs!$B$17+Inputs!$B$19)/Inputs!$B$32)*(1-Inputs!$B$27)</f>
        <v>31.2746525951918</v>
      </c>
      <c r="C4" s="11" t="n">
        <f aca="false">((Inputs!$B$5*(1+$A4)*4.25+Inputs!$B$17+Inputs!$B$19)/Inputs!$B$32)*(1-Inputs!$B$27)</f>
        <v>32.7676972025486</v>
      </c>
      <c r="D4" s="11" t="n">
        <f aca="false">((Inputs!$B$5*(1+$A4)*4.5+Inputs!$B$17+Inputs!$B$19)/Inputs!$B$32)*(1-Inputs!$B$27)</f>
        <v>34.2607418099054</v>
      </c>
      <c r="E4" s="11" t="n">
        <f aca="false">((Inputs!$B$5*(1+$A4)*4.75+Inputs!$B$17+Inputs!$B$19)/Inputs!$B$32)*(1-Inputs!$B$27)</f>
        <v>35.7537864172622</v>
      </c>
      <c r="F4" s="11" t="n">
        <f aca="false">((Inputs!$B$5*(1+$A4)*5+Inputs!$B$17+Inputs!$B$19)/Inputs!$B$32)*(1-Inputs!$B$27)</f>
        <v>37.2468310246189</v>
      </c>
      <c r="G4" s="8" t="s">
        <v>178</v>
      </c>
    </row>
    <row r="5" customFormat="false" ht="15" hidden="false" customHeight="false" outlineLevel="0" collapsed="false">
      <c r="A5" s="10" t="n">
        <v>0.227009304020843</v>
      </c>
      <c r="B5" s="11" t="n">
        <f aca="false">((Inputs!$B$5*(1+$A5)*4+Inputs!$B$17+Inputs!$B$19)/Inputs!$B$32)*(1-Inputs!$B$27)</f>
        <v>31.411901166597</v>
      </c>
      <c r="C5" s="11" t="n">
        <f aca="false">((Inputs!$B$5*(1+$A5)*4.25+Inputs!$B$17+Inputs!$B$19)/Inputs!$B$32)*(1-Inputs!$B$27)</f>
        <v>32.9135238096666</v>
      </c>
      <c r="D5" s="11" t="n">
        <f aca="false">((Inputs!$B$5*(1+$A5)*4.5+Inputs!$B$17+Inputs!$B$19)/Inputs!$B$32)*(1-Inputs!$B$27)</f>
        <v>34.4151464527362</v>
      </c>
      <c r="E5" s="11" t="n">
        <f aca="false">((Inputs!$B$5*(1+$A5)*4.75+Inputs!$B$17+Inputs!$B$19)/Inputs!$B$32)*(1-Inputs!$B$27)</f>
        <v>35.9167690958058</v>
      </c>
      <c r="F5" s="11" t="n">
        <f aca="false">((Inputs!$B$5*(1+$A5)*5+Inputs!$B$17+Inputs!$B$19)/Inputs!$B$32)*(1-Inputs!$B$27)</f>
        <v>37.4183917388754</v>
      </c>
      <c r="G5" s="8" t="s">
        <v>177</v>
      </c>
    </row>
    <row r="6" customFormat="false" ht="15" hidden="false" customHeight="false" outlineLevel="0" collapsed="false">
      <c r="A6" s="10" t="n">
        <v>0.234018608041686</v>
      </c>
      <c r="B6" s="11" t="n">
        <f aca="false">((Inputs!$B$5*(1+$A6)*4+Inputs!$B$17+Inputs!$B$19)/Inputs!$B$32)*(1-Inputs!$B$27)</f>
        <v>31.5491497380022</v>
      </c>
      <c r="C6" s="11" t="n">
        <f aca="false">((Inputs!$B$5*(1+$A6)*4.25+Inputs!$B$17+Inputs!$B$19)/Inputs!$B$32)*(1-Inputs!$B$27)</f>
        <v>33.0593504167846</v>
      </c>
      <c r="D6" s="11" t="n">
        <f aca="false">((Inputs!$B$5*(1+$A6)*4.5+Inputs!$B$17+Inputs!$B$19)/Inputs!$B$32)*(1-Inputs!$B$27)</f>
        <v>34.569551095567</v>
      </c>
      <c r="E6" s="11" t="n">
        <f aca="false">((Inputs!$B$5*(1+$A6)*4.75+Inputs!$B$17+Inputs!$B$19)/Inputs!$B$32)*(1-Inputs!$B$27)</f>
        <v>36.0797517743494</v>
      </c>
      <c r="F6" s="11" t="n">
        <f aca="false">((Inputs!$B$5*(1+$A6)*5+Inputs!$B$17+Inputs!$B$19)/Inputs!$B$32)*(1-Inputs!$B$27)</f>
        <v>37.5899524531318</v>
      </c>
      <c r="G6" s="8" t="s">
        <v>177</v>
      </c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</row>
    <row r="8" customFormat="false" ht="41.75" hidden="false" customHeight="false" outlineLevel="0" collapsed="false">
      <c r="A8" s="8" t="s">
        <v>179</v>
      </c>
      <c r="B8" s="8" t="s">
        <v>180</v>
      </c>
      <c r="C8" s="8"/>
      <c r="D8" s="8"/>
      <c r="E8" s="8"/>
      <c r="F8" s="8"/>
      <c r="G8" s="8"/>
    </row>
  </sheetData>
  <autoFilter ref="A1:G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6"/>
  </cols>
  <sheetData>
    <row r="1" customFormat="false" ht="30" hidden="false" customHeight="true" outlineLevel="0" collapsed="false">
      <c r="A1" s="1" t="s">
        <v>181</v>
      </c>
      <c r="B1" s="1" t="s">
        <v>182</v>
      </c>
      <c r="C1" s="1" t="s">
        <v>183</v>
      </c>
      <c r="D1" s="1" t="s">
        <v>184</v>
      </c>
    </row>
    <row r="2" customFormat="false" ht="15" hidden="false" customHeight="false" outlineLevel="0" collapsed="false">
      <c r="A2" s="8" t="s">
        <v>166</v>
      </c>
      <c r="B2" s="9" t="n">
        <f aca="false">Inputs!B28</f>
        <v>34</v>
      </c>
      <c r="C2" s="9" t="n">
        <f aca="false">Inputs!B28</f>
        <v>34</v>
      </c>
      <c r="D2" s="8" t="s">
        <v>185</v>
      </c>
    </row>
    <row r="3" customFormat="false" ht="15" hidden="false" customHeight="false" outlineLevel="0" collapsed="false">
      <c r="A3" s="8" t="s">
        <v>186</v>
      </c>
      <c r="B3" s="9" t="n">
        <f aca="false">Inputs!B29</f>
        <v>15.276527</v>
      </c>
      <c r="C3" s="9" t="n">
        <f aca="false">Inputs!B29+Inputs!B31</f>
        <v>18.576527</v>
      </c>
      <c r="D3" s="8" t="s">
        <v>69</v>
      </c>
    </row>
    <row r="4" customFormat="false" ht="15" hidden="false" customHeight="false" outlineLevel="0" collapsed="false">
      <c r="A4" s="12" t="s">
        <v>187</v>
      </c>
      <c r="B4" s="13" t="n">
        <f aca="false">Inputs!B30</f>
        <v>6.723473</v>
      </c>
      <c r="C4" s="13" t="n">
        <f aca="false">Inputs!B30</f>
        <v>6.723473</v>
      </c>
      <c r="D4" s="12" t="s">
        <v>188</v>
      </c>
    </row>
    <row r="5" customFormat="false" ht="15" hidden="false" customHeight="false" outlineLevel="0" collapsed="false">
      <c r="A5" s="8" t="s">
        <v>74</v>
      </c>
      <c r="B5" s="9" t="n">
        <v>0</v>
      </c>
      <c r="C5" s="9" t="n">
        <f aca="false">Inputs!B31</f>
        <v>3.3</v>
      </c>
      <c r="D5" s="8" t="s">
        <v>189</v>
      </c>
    </row>
    <row r="6" customFormat="false" ht="15" hidden="false" customHeight="false" outlineLevel="0" collapsed="false">
      <c r="A6" s="12" t="s">
        <v>190</v>
      </c>
      <c r="B6" s="13" t="n">
        <f aca="false">B2*B3</f>
        <v>519.401918</v>
      </c>
      <c r="C6" s="13" t="n">
        <f aca="false">C2*C3</f>
        <v>631.601918</v>
      </c>
      <c r="D6" s="12" t="s">
        <v>19</v>
      </c>
    </row>
    <row r="7" customFormat="false" ht="15" hidden="false" customHeight="false" outlineLevel="0" collapsed="false">
      <c r="A7" s="12" t="s">
        <v>191</v>
      </c>
      <c r="B7" s="13" t="n">
        <f aca="false">B2*B4</f>
        <v>228.598082</v>
      </c>
      <c r="C7" s="13" t="n">
        <f aca="false">C2*C4</f>
        <v>228.598082</v>
      </c>
      <c r="D7" s="12" t="s">
        <v>192</v>
      </c>
    </row>
    <row r="8" customFormat="false" ht="15" hidden="false" customHeight="false" outlineLevel="0" collapsed="false">
      <c r="A8" s="8" t="s">
        <v>193</v>
      </c>
      <c r="B8" s="9" t="n">
        <f aca="false">B6*Inputs!B33</f>
        <v>25.9700959</v>
      </c>
      <c r="C8" s="9" t="n">
        <f aca="false">C6*Inputs!B33</f>
        <v>31.5800959</v>
      </c>
      <c r="D8" s="8" t="s">
        <v>194</v>
      </c>
    </row>
    <row r="9" customFormat="false" ht="15" hidden="false" customHeight="false" outlineLevel="0" collapsed="false">
      <c r="A9" s="8" t="s">
        <v>82</v>
      </c>
      <c r="B9" s="9" t="n">
        <f aca="false">Inputs!B34</f>
        <v>7</v>
      </c>
      <c r="C9" s="9" t="n">
        <f aca="false">Inputs!B34</f>
        <v>7</v>
      </c>
      <c r="D9" s="8" t="s">
        <v>195</v>
      </c>
    </row>
    <row r="10" customFormat="false" ht="15" hidden="false" customHeight="false" outlineLevel="0" collapsed="false">
      <c r="A10" s="12" t="s">
        <v>196</v>
      </c>
      <c r="B10" s="13" t="n">
        <f aca="false">B6-B8-B9</f>
        <v>486.4318221</v>
      </c>
      <c r="C10" s="13" t="n">
        <f aca="false">C6-C8-C9</f>
        <v>593.0218221</v>
      </c>
      <c r="D10" s="12" t="s">
        <v>19</v>
      </c>
    </row>
    <row r="11" customFormat="false" ht="15" hidden="false" customHeight="false" outlineLevel="0" collapsed="false">
      <c r="A11" s="12" t="s">
        <v>197</v>
      </c>
      <c r="B11" s="13" t="n">
        <v>0</v>
      </c>
      <c r="C11" s="13" t="n">
        <f aca="false">C10-B10</f>
        <v>106.59</v>
      </c>
      <c r="D11" s="12" t="s">
        <v>198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181</v>
      </c>
      <c r="B1" s="1" t="s">
        <v>182</v>
      </c>
      <c r="C1" s="1" t="s">
        <v>183</v>
      </c>
      <c r="D1" s="1" t="s">
        <v>153</v>
      </c>
    </row>
    <row r="2" customFormat="false" ht="15" hidden="false" customHeight="false" outlineLevel="0" collapsed="false">
      <c r="A2" s="8" t="s">
        <v>76</v>
      </c>
      <c r="B2" s="9" t="n">
        <f aca="false">Inputs!B32</f>
        <v>143.716563</v>
      </c>
      <c r="C2" s="9" t="n">
        <f aca="false">Inputs!B32</f>
        <v>143.716563</v>
      </c>
      <c r="D2" s="8" t="s">
        <v>69</v>
      </c>
    </row>
    <row r="3" customFormat="false" ht="15" hidden="false" customHeight="false" outlineLevel="0" collapsed="false">
      <c r="A3" s="8" t="s">
        <v>199</v>
      </c>
      <c r="B3" s="9" t="n">
        <f aca="false">Inputs!B29</f>
        <v>15.276527</v>
      </c>
      <c r="C3" s="9" t="n">
        <f aca="false">Inputs!B29+Inputs!B31</f>
        <v>18.576527</v>
      </c>
      <c r="D3" s="8" t="s">
        <v>69</v>
      </c>
    </row>
    <row r="4" customFormat="false" ht="15" hidden="false" customHeight="false" outlineLevel="0" collapsed="false">
      <c r="A4" s="8" t="s">
        <v>200</v>
      </c>
      <c r="B4" s="9" t="n">
        <f aca="false">Inputs!B30</f>
        <v>6.723473</v>
      </c>
      <c r="C4" s="9" t="n">
        <f aca="false">Inputs!B30</f>
        <v>6.723473</v>
      </c>
      <c r="D4" s="8" t="s">
        <v>201</v>
      </c>
    </row>
    <row r="5" customFormat="false" ht="15" hidden="false" customHeight="false" outlineLevel="0" collapsed="false">
      <c r="A5" s="8" t="s">
        <v>202</v>
      </c>
      <c r="B5" s="9" t="n">
        <f aca="false">B2+B3</f>
        <v>158.99309</v>
      </c>
      <c r="C5" s="9" t="n">
        <f aca="false">C2+C3</f>
        <v>162.29309</v>
      </c>
      <c r="D5" s="8" t="s">
        <v>69</v>
      </c>
    </row>
    <row r="6" customFormat="false" ht="15" hidden="false" customHeight="false" outlineLevel="0" collapsed="false">
      <c r="A6" s="8" t="s">
        <v>203</v>
      </c>
      <c r="B6" s="10" t="n">
        <f aca="false">B3/B5</f>
        <v>0.0960829618444424</v>
      </c>
      <c r="C6" s="10" t="n">
        <f aca="false">C3/C5</f>
        <v>0.114462833876661</v>
      </c>
      <c r="D6" s="8" t="s">
        <v>52</v>
      </c>
    </row>
    <row r="7" customFormat="false" ht="15" hidden="false" customHeight="false" outlineLevel="0" collapsed="false">
      <c r="A7" s="8" t="s">
        <v>204</v>
      </c>
      <c r="B7" s="10" t="n">
        <f aca="false">B3/B2</f>
        <v>0.106296217228629</v>
      </c>
      <c r="C7" s="10" t="n">
        <f aca="false">C3/C2</f>
        <v>0.129258080016845</v>
      </c>
      <c r="D7" s="8" t="s">
        <v>52</v>
      </c>
    </row>
    <row r="8" customFormat="false" ht="15" hidden="false" customHeight="false" outlineLevel="0" collapsed="false">
      <c r="A8" s="8" t="s">
        <v>205</v>
      </c>
      <c r="B8" s="9" t="n">
        <v>0</v>
      </c>
      <c r="C8" s="9" t="n">
        <v>0</v>
      </c>
      <c r="D8" s="8" t="s">
        <v>69</v>
      </c>
    </row>
    <row r="9" customFormat="false" ht="15" hidden="false" customHeight="false" outlineLevel="0" collapsed="false">
      <c r="A9" s="8" t="s">
        <v>206</v>
      </c>
      <c r="B9" s="9" t="n">
        <f aca="false">Inputs!B21</f>
        <v>32.5</v>
      </c>
      <c r="C9" s="9" t="n">
        <f aca="false">B9</f>
        <v>32.5</v>
      </c>
      <c r="D9" s="8" t="s">
        <v>207</v>
      </c>
    </row>
    <row r="10" customFormat="false" ht="15" hidden="false" customHeight="false" outlineLevel="0" collapsed="false">
      <c r="A10" s="8" t="s">
        <v>44</v>
      </c>
      <c r="B10" s="9" t="n">
        <f aca="false">Inputs!B20</f>
        <v>11.17</v>
      </c>
      <c r="C10" s="9" t="n">
        <f aca="false">B10</f>
        <v>11.17</v>
      </c>
      <c r="D10" s="8" t="s">
        <v>208</v>
      </c>
    </row>
    <row r="11" customFormat="false" ht="15" hidden="false" customHeight="false" outlineLevel="0" collapsed="false">
      <c r="A11" s="8" t="s">
        <v>50</v>
      </c>
      <c r="B11" s="9" t="n">
        <f aca="false">Inputs!B22</f>
        <v>21.33</v>
      </c>
      <c r="C11" s="9" t="n">
        <f aca="false">B11</f>
        <v>21.33</v>
      </c>
      <c r="D11" s="8" t="s">
        <v>208</v>
      </c>
    </row>
    <row r="12" customFormat="false" ht="15" hidden="false" customHeight="false" outlineLevel="0" collapsed="false">
      <c r="A12" s="8" t="s">
        <v>209</v>
      </c>
      <c r="B12" s="9" t="n">
        <f aca="false">B10+B11-B9</f>
        <v>0</v>
      </c>
      <c r="C12" s="9" t="n">
        <f aca="false">C10+C11-C9</f>
        <v>0</v>
      </c>
      <c r="D12" s="8" t="s">
        <v>210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53"/>
  </cols>
  <sheetData>
    <row r="1" customFormat="false" ht="30" hidden="false" customHeight="true" outlineLevel="0" collapsed="false">
      <c r="A1" s="1" t="s">
        <v>211</v>
      </c>
      <c r="B1" s="1" t="s">
        <v>212</v>
      </c>
      <c r="C1" s="1" t="s">
        <v>2</v>
      </c>
      <c r="D1" s="1" t="s">
        <v>213</v>
      </c>
    </row>
    <row r="2" customFormat="false" ht="15" hidden="false" customHeight="false" outlineLevel="0" collapsed="false">
      <c r="A2" s="8" t="s">
        <v>214</v>
      </c>
      <c r="B2" s="9" t="n">
        <f aca="false">QoE!C8</f>
        <v>-118.361</v>
      </c>
      <c r="C2" s="8" t="s">
        <v>19</v>
      </c>
      <c r="D2" s="8" t="s">
        <v>215</v>
      </c>
    </row>
    <row r="3" customFormat="false" ht="15" hidden="false" customHeight="false" outlineLevel="0" collapsed="false">
      <c r="A3" s="8" t="s">
        <v>37</v>
      </c>
      <c r="B3" s="9" t="n">
        <f aca="false">QoE!C9</f>
        <v>-84.838</v>
      </c>
      <c r="C3" s="8" t="s">
        <v>19</v>
      </c>
      <c r="D3" s="8" t="s">
        <v>216</v>
      </c>
    </row>
    <row r="4" customFormat="false" ht="15" hidden="false" customHeight="false" outlineLevel="0" collapsed="false">
      <c r="A4" s="8" t="s">
        <v>154</v>
      </c>
      <c r="B4" s="9" t="n">
        <f aca="false">Valuation!C2</f>
        <v>980.91538</v>
      </c>
      <c r="C4" s="8" t="s">
        <v>19</v>
      </c>
      <c r="D4" s="8" t="s">
        <v>217</v>
      </c>
    </row>
    <row r="5" customFormat="false" ht="15" hidden="false" customHeight="false" outlineLevel="0" collapsed="false">
      <c r="A5" s="8" t="s">
        <v>218</v>
      </c>
      <c r="B5" s="9" t="n">
        <f aca="false">Valuation!B11</f>
        <v>31.2746525951918</v>
      </c>
      <c r="C5" s="8" t="s">
        <v>45</v>
      </c>
      <c r="D5" s="8" t="s">
        <v>219</v>
      </c>
    </row>
    <row r="6" customFormat="false" ht="15" hidden="false" customHeight="false" outlineLevel="0" collapsed="false">
      <c r="A6" s="8" t="s">
        <v>220</v>
      </c>
      <c r="B6" s="9" t="n">
        <f aca="false">Valuation!C11</f>
        <v>34.2607418099054</v>
      </c>
      <c r="C6" s="8" t="s">
        <v>45</v>
      </c>
      <c r="D6" s="8" t="s">
        <v>221</v>
      </c>
    </row>
    <row r="7" customFormat="false" ht="15" hidden="false" customHeight="false" outlineLevel="0" collapsed="false">
      <c r="A7" s="8" t="s">
        <v>222</v>
      </c>
      <c r="B7" s="9" t="n">
        <f aca="false">Valuation!D11</f>
        <v>37.2468310246189</v>
      </c>
      <c r="C7" s="8" t="s">
        <v>45</v>
      </c>
      <c r="D7" s="8" t="s">
        <v>223</v>
      </c>
    </row>
    <row r="8" customFormat="false" ht="15" hidden="false" customHeight="false" outlineLevel="0" collapsed="false">
      <c r="A8" s="8" t="s">
        <v>166</v>
      </c>
      <c r="B8" s="9" t="n">
        <f aca="false">Valuation!C12</f>
        <v>34</v>
      </c>
      <c r="C8" s="8" t="s">
        <v>45</v>
      </c>
      <c r="D8" s="8" t="s">
        <v>224</v>
      </c>
    </row>
    <row r="9" customFormat="false" ht="15" hidden="false" customHeight="false" outlineLevel="0" collapsed="false">
      <c r="A9" s="8" t="s">
        <v>225</v>
      </c>
      <c r="B9" s="9" t="n">
        <f aca="false">B8-B6</f>
        <v>-0.260741809905369</v>
      </c>
      <c r="C9" s="8" t="s">
        <v>45</v>
      </c>
      <c r="D9" s="8" t="s">
        <v>226</v>
      </c>
    </row>
    <row r="10" customFormat="false" ht="15" hidden="false" customHeight="false" outlineLevel="0" collapsed="false">
      <c r="A10" s="8" t="s">
        <v>227</v>
      </c>
      <c r="B10" s="9" t="n">
        <f aca="false">ABS(B9)</f>
        <v>0.260741809905369</v>
      </c>
      <c r="C10" s="8" t="s">
        <v>45</v>
      </c>
      <c r="D10" s="8" t="s">
        <v>228</v>
      </c>
    </row>
    <row r="11" customFormat="false" ht="15" hidden="false" customHeight="false" outlineLevel="0" collapsed="false">
      <c r="A11" s="8" t="s">
        <v>229</v>
      </c>
      <c r="B11" s="8" t="str">
        <f aca="false">IF(AND(B8&gt;=B5,B8&lt;=B7),"Yes","No")</f>
        <v>Yes</v>
      </c>
      <c r="C11" s="8" t="s">
        <v>230</v>
      </c>
      <c r="D11" s="8" t="s">
        <v>231</v>
      </c>
    </row>
    <row r="12" customFormat="false" ht="15" hidden="false" customHeight="false" outlineLevel="0" collapsed="false">
      <c r="A12" s="8" t="s">
        <v>232</v>
      </c>
      <c r="B12" s="8" t="str">
        <f aca="false">IF(B10&lt;=0.5,"Yes","No")</f>
        <v>Yes</v>
      </c>
      <c r="C12" s="8" t="s">
        <v>230</v>
      </c>
      <c r="D12" s="8" t="s">
        <v>231</v>
      </c>
    </row>
    <row r="13" customFormat="false" ht="15" hidden="false" customHeight="false" outlineLevel="0" collapsed="false">
      <c r="A13" s="8" t="s">
        <v>233</v>
      </c>
      <c r="B13" s="8" t="n">
        <f aca="false">COUNTIF(Error_Audit!E2:E15,"&lt;&gt;Corrected")</f>
        <v>0</v>
      </c>
      <c r="C13" s="8" t="s">
        <v>234</v>
      </c>
      <c r="D13" s="8" t="s">
        <v>235</v>
      </c>
    </row>
    <row r="14" customFormat="false" ht="15" hidden="false" customHeight="false" outlineLevel="0" collapsed="false">
      <c r="A14" s="12" t="s">
        <v>236</v>
      </c>
      <c r="B14" s="13" t="n">
        <f aca="false">Offering_Proceeds!B6</f>
        <v>519.401918</v>
      </c>
      <c r="C14" s="12" t="s">
        <v>19</v>
      </c>
      <c r="D14" s="12" t="s">
        <v>237</v>
      </c>
    </row>
    <row r="15" customFormat="false" ht="15" hidden="false" customHeight="false" outlineLevel="0" collapsed="false">
      <c r="A15" s="12" t="s">
        <v>238</v>
      </c>
      <c r="B15" s="13" t="n">
        <f aca="false">Offering_Proceeds!B10</f>
        <v>486.4318221</v>
      </c>
      <c r="C15" s="12" t="s">
        <v>19</v>
      </c>
      <c r="D15" s="12" t="s">
        <v>239</v>
      </c>
    </row>
    <row r="16" customFormat="false" ht="15" hidden="false" customHeight="false" outlineLevel="0" collapsed="false">
      <c r="A16" s="8" t="s">
        <v>240</v>
      </c>
      <c r="B16" s="9" t="n">
        <f aca="false">Dilution!B5</f>
        <v>158.99309</v>
      </c>
      <c r="C16" s="8" t="s">
        <v>69</v>
      </c>
      <c r="D16" s="8" t="s">
        <v>241</v>
      </c>
    </row>
    <row r="17" customFormat="false" ht="15" hidden="false" customHeight="false" outlineLevel="0" collapsed="false">
      <c r="A17" s="8" t="s">
        <v>242</v>
      </c>
      <c r="B17" s="9" t="n">
        <f aca="false">Dilution!C5</f>
        <v>162.29309</v>
      </c>
      <c r="C17" s="8" t="s">
        <v>69</v>
      </c>
      <c r="D17" s="8" t="s">
        <v>243</v>
      </c>
    </row>
    <row r="18" customFormat="false" ht="15" hidden="false" customHeight="false" outlineLevel="0" collapsed="false">
      <c r="A18" s="12" t="s">
        <v>244</v>
      </c>
      <c r="B18" s="12" t="str">
        <f aca="false">IF(AND(B11="Yes",B12="Yes",B13=0),"Proceed",IF(AND(B11="Yes",B13=0),"Reprice","Defer"))</f>
        <v>Proceed</v>
      </c>
      <c r="C18" s="12" t="s">
        <v>230</v>
      </c>
      <c r="D18" s="12" t="s">
        <v>245</v>
      </c>
    </row>
  </sheetData>
  <autoFilter ref="A1:D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55"/>
    <col collapsed="false" customWidth="true" hidden="false" outlineLevel="0" max="5" min="5" style="0" width="12"/>
    <col collapsed="false" customWidth="true" hidden="false" outlineLevel="0" max="6" min="6" style="0" width="25"/>
  </cols>
  <sheetData>
    <row r="1" customFormat="false" ht="30" hidden="false" customHeight="true" outlineLevel="0" collapsed="false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</row>
    <row r="2" customFormat="false" ht="15" hidden="false" customHeight="false" outlineLevel="0" collapsed="false">
      <c r="A2" s="8" t="s">
        <v>252</v>
      </c>
      <c r="B2" s="8" t="s">
        <v>253</v>
      </c>
      <c r="C2" s="8" t="s">
        <v>254</v>
      </c>
      <c r="D2" s="8" t="s">
        <v>255</v>
      </c>
      <c r="E2" s="8" t="s">
        <v>256</v>
      </c>
      <c r="F2" s="8" t="s">
        <v>109</v>
      </c>
    </row>
    <row r="3" customFormat="false" ht="28.35" hidden="false" customHeight="false" outlineLevel="0" collapsed="false">
      <c r="A3" s="8" t="s">
        <v>257</v>
      </c>
      <c r="B3" s="8" t="s">
        <v>258</v>
      </c>
      <c r="C3" s="8" t="s">
        <v>259</v>
      </c>
      <c r="D3" s="8" t="s">
        <v>260</v>
      </c>
      <c r="E3" s="8" t="s">
        <v>256</v>
      </c>
      <c r="F3" s="8" t="s">
        <v>106</v>
      </c>
    </row>
    <row r="4" customFormat="false" ht="15" hidden="false" customHeight="false" outlineLevel="0" collapsed="false">
      <c r="A4" s="8" t="s">
        <v>261</v>
      </c>
      <c r="B4" s="8" t="s">
        <v>262</v>
      </c>
      <c r="C4" s="8" t="s">
        <v>263</v>
      </c>
      <c r="D4" s="8" t="s">
        <v>264</v>
      </c>
      <c r="E4" s="8" t="s">
        <v>256</v>
      </c>
      <c r="F4" s="8" t="s">
        <v>265</v>
      </c>
    </row>
    <row r="5" customFormat="false" ht="15" hidden="false" customHeight="false" outlineLevel="0" collapsed="false">
      <c r="A5" s="8" t="s">
        <v>163</v>
      </c>
      <c r="B5" s="8" t="s">
        <v>266</v>
      </c>
      <c r="C5" s="8" t="s">
        <v>267</v>
      </c>
      <c r="D5" s="8" t="s">
        <v>268</v>
      </c>
      <c r="E5" s="8" t="s">
        <v>256</v>
      </c>
      <c r="F5" s="8" t="s">
        <v>269</v>
      </c>
    </row>
    <row r="6" customFormat="false" ht="15" hidden="false" customHeight="false" outlineLevel="0" collapsed="false">
      <c r="A6" s="8" t="s">
        <v>270</v>
      </c>
      <c r="B6" s="8" t="s">
        <v>271</v>
      </c>
      <c r="C6" s="8" t="s">
        <v>272</v>
      </c>
      <c r="D6" s="8" t="s">
        <v>273</v>
      </c>
      <c r="E6" s="8" t="s">
        <v>256</v>
      </c>
      <c r="F6" s="8" t="s">
        <v>116</v>
      </c>
    </row>
    <row r="7" customFormat="false" ht="28.35" hidden="false" customHeight="false" outlineLevel="0" collapsed="false">
      <c r="A7" s="8" t="s">
        <v>274</v>
      </c>
      <c r="B7" s="8" t="s">
        <v>275</v>
      </c>
      <c r="C7" s="8" t="s">
        <v>276</v>
      </c>
      <c r="D7" s="8" t="s">
        <v>277</v>
      </c>
      <c r="E7" s="8" t="s">
        <v>256</v>
      </c>
      <c r="F7" s="8" t="s">
        <v>278</v>
      </c>
    </row>
    <row r="8" customFormat="false" ht="15" hidden="false" customHeight="false" outlineLevel="0" collapsed="false">
      <c r="A8" s="8" t="s">
        <v>279</v>
      </c>
      <c r="B8" s="8" t="s">
        <v>280</v>
      </c>
      <c r="C8" s="8" t="s">
        <v>281</v>
      </c>
      <c r="D8" s="8" t="s">
        <v>282</v>
      </c>
      <c r="E8" s="8" t="s">
        <v>256</v>
      </c>
      <c r="F8" s="8" t="s">
        <v>283</v>
      </c>
    </row>
    <row r="9" customFormat="false" ht="15" hidden="false" customHeight="false" outlineLevel="0" collapsed="false">
      <c r="A9" s="8" t="s">
        <v>284</v>
      </c>
      <c r="B9" s="8" t="s">
        <v>285</v>
      </c>
      <c r="C9" s="8" t="s">
        <v>286</v>
      </c>
      <c r="D9" s="8" t="s">
        <v>287</v>
      </c>
      <c r="E9" s="8" t="s">
        <v>256</v>
      </c>
      <c r="F9" s="8" t="s">
        <v>288</v>
      </c>
    </row>
    <row r="10" customFormat="false" ht="15" hidden="false" customHeight="false" outlineLevel="0" collapsed="false">
      <c r="A10" s="8" t="s">
        <v>289</v>
      </c>
      <c r="B10" s="8" t="s">
        <v>290</v>
      </c>
      <c r="C10" s="8" t="s">
        <v>291</v>
      </c>
      <c r="D10" s="8" t="s">
        <v>292</v>
      </c>
      <c r="E10" s="8" t="s">
        <v>256</v>
      </c>
      <c r="F10" s="8" t="s">
        <v>278</v>
      </c>
    </row>
    <row r="11" customFormat="false" ht="15" hidden="false" customHeight="false" outlineLevel="0" collapsed="false">
      <c r="A11" s="8" t="s">
        <v>293</v>
      </c>
      <c r="B11" s="8" t="s">
        <v>294</v>
      </c>
      <c r="C11" s="8" t="s">
        <v>295</v>
      </c>
      <c r="D11" s="8" t="s">
        <v>296</v>
      </c>
      <c r="E11" s="8" t="s">
        <v>256</v>
      </c>
      <c r="F11" s="8" t="s">
        <v>278</v>
      </c>
    </row>
    <row r="12" customFormat="false" ht="28.35" hidden="false" customHeight="false" outlineLevel="0" collapsed="false">
      <c r="A12" s="8" t="s">
        <v>297</v>
      </c>
      <c r="B12" s="8" t="s">
        <v>298</v>
      </c>
      <c r="C12" s="8" t="s">
        <v>299</v>
      </c>
      <c r="D12" s="8" t="s">
        <v>300</v>
      </c>
      <c r="E12" s="8" t="s">
        <v>256</v>
      </c>
      <c r="F12" s="8" t="s">
        <v>301</v>
      </c>
    </row>
    <row r="13" customFormat="false" ht="15" hidden="false" customHeight="false" outlineLevel="0" collapsed="false">
      <c r="A13" s="8" t="s">
        <v>302</v>
      </c>
      <c r="B13" s="8" t="s">
        <v>303</v>
      </c>
      <c r="C13" s="8" t="s">
        <v>304</v>
      </c>
      <c r="D13" s="8" t="s">
        <v>305</v>
      </c>
      <c r="E13" s="8" t="s">
        <v>256</v>
      </c>
      <c r="F13" s="8" t="s">
        <v>231</v>
      </c>
    </row>
    <row r="14" customFormat="false" ht="15" hidden="false" customHeight="false" outlineLevel="0" collapsed="false">
      <c r="A14" s="8" t="s">
        <v>306</v>
      </c>
      <c r="B14" s="8" t="s">
        <v>307</v>
      </c>
      <c r="C14" s="8" t="s">
        <v>308</v>
      </c>
      <c r="D14" s="8" t="s">
        <v>309</v>
      </c>
      <c r="E14" s="8" t="s">
        <v>256</v>
      </c>
      <c r="F14" s="8" t="s">
        <v>310</v>
      </c>
    </row>
    <row r="15" customFormat="false" ht="15" hidden="false" customHeight="false" outlineLevel="0" collapsed="false">
      <c r="A15" s="8" t="s">
        <v>311</v>
      </c>
      <c r="B15" s="8" t="s">
        <v>312</v>
      </c>
      <c r="C15" s="8" t="s">
        <v>313</v>
      </c>
      <c r="D15" s="8" t="s">
        <v>314</v>
      </c>
      <c r="E15" s="8" t="s">
        <v>256</v>
      </c>
      <c r="F15" s="8" t="s">
        <v>315</v>
      </c>
    </row>
  </sheetData>
  <autoFilter ref="A1:F15"/>
  <conditionalFormatting sqref="E2:E15">
    <cfRule type="cellIs" priority="2" operator="notEqual" aboveAverage="0" equalAverage="0" bottom="0" percent="0" rank="0" text="" dxfId="9">
      <formula>"Corrected"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20"/>
    <col collapsed="false" customWidth="true" hidden="false" outlineLevel="0" max="5" min="5" style="0" width="55"/>
    <col collapsed="false" customWidth="true" hidden="false" outlineLevel="0" max="6" min="6" style="0" width="53"/>
    <col collapsed="false" customWidth="true" hidden="false" outlineLevel="0" max="7" min="7" style="0" width="42"/>
    <col collapsed="false" customWidth="true" hidden="false" outlineLevel="0" max="9" min="8" style="0" width="55"/>
  </cols>
  <sheetData>
    <row r="1" customFormat="false" ht="30" hidden="false" customHeight="true" outlineLevel="0" collapsed="false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</row>
    <row r="2" customFormat="false" ht="28.35" hidden="false" customHeight="false" outlineLevel="0" collapsed="false">
      <c r="A2" s="8" t="s">
        <v>6</v>
      </c>
      <c r="B2" s="8" t="s">
        <v>7</v>
      </c>
      <c r="C2" s="8" t="s">
        <v>8</v>
      </c>
      <c r="D2" s="8" t="s">
        <v>325</v>
      </c>
      <c r="E2" s="8" t="s">
        <v>326</v>
      </c>
      <c r="F2" s="8" t="s">
        <v>21</v>
      </c>
      <c r="G2" s="8" t="s">
        <v>327</v>
      </c>
      <c r="H2" s="8" t="s">
        <v>328</v>
      </c>
      <c r="I2" s="8" t="s">
        <v>329</v>
      </c>
    </row>
    <row r="3" customFormat="false" ht="15" hidden="false" customHeight="false" outlineLevel="0" collapsed="false">
      <c r="A3" s="8" t="s">
        <v>330</v>
      </c>
      <c r="B3" s="8" t="s">
        <v>13</v>
      </c>
      <c r="C3" s="8" t="s">
        <v>14</v>
      </c>
      <c r="D3" s="8"/>
      <c r="E3" s="8" t="s">
        <v>15</v>
      </c>
      <c r="F3" s="8" t="s">
        <v>16</v>
      </c>
      <c r="G3" s="8" t="s">
        <v>331</v>
      </c>
      <c r="H3" s="8" t="s">
        <v>332</v>
      </c>
      <c r="I3" s="8" t="s">
        <v>333</v>
      </c>
    </row>
    <row r="4" customFormat="false" ht="15" hidden="false" customHeight="false" outlineLevel="0" collapsed="false">
      <c r="A4" s="8" t="s">
        <v>23</v>
      </c>
      <c r="B4" s="14" t="n">
        <v>804.029</v>
      </c>
      <c r="C4" s="8" t="s">
        <v>19</v>
      </c>
      <c r="D4" s="8" t="s">
        <v>20</v>
      </c>
      <c r="E4" s="8" t="s">
        <v>334</v>
      </c>
      <c r="F4" s="8" t="s">
        <v>21</v>
      </c>
      <c r="G4" s="8" t="n">
        <v>806.2</v>
      </c>
      <c r="H4" s="8" t="s">
        <v>335</v>
      </c>
      <c r="I4" s="8" t="s">
        <v>336</v>
      </c>
    </row>
    <row r="5" customFormat="false" ht="15" hidden="false" customHeight="false" outlineLevel="0" collapsed="false">
      <c r="A5" s="8" t="s">
        <v>25</v>
      </c>
      <c r="B5" s="14" t="n">
        <v>-90.824</v>
      </c>
      <c r="C5" s="8" t="s">
        <v>19</v>
      </c>
      <c r="D5" s="8" t="s">
        <v>20</v>
      </c>
      <c r="E5" s="8" t="s">
        <v>334</v>
      </c>
      <c r="F5" s="8" t="s">
        <v>21</v>
      </c>
      <c r="G5" s="8"/>
      <c r="H5" s="8"/>
      <c r="I5" s="8" t="s">
        <v>337</v>
      </c>
    </row>
    <row r="6" customFormat="false" ht="15" hidden="false" customHeight="false" outlineLevel="0" collapsed="false">
      <c r="A6" s="8" t="s">
        <v>29</v>
      </c>
      <c r="B6" s="14" t="n">
        <v>-69.275</v>
      </c>
      <c r="C6" s="8" t="s">
        <v>19</v>
      </c>
      <c r="D6" s="8" t="s">
        <v>20</v>
      </c>
      <c r="E6" s="8" t="s">
        <v>334</v>
      </c>
      <c r="F6" s="8" t="s">
        <v>27</v>
      </c>
      <c r="G6" s="8" t="n">
        <v>-66.1</v>
      </c>
      <c r="H6" s="8" t="s">
        <v>335</v>
      </c>
      <c r="I6" s="8" t="s">
        <v>338</v>
      </c>
    </row>
    <row r="7" customFormat="false" ht="15" hidden="false" customHeight="false" outlineLevel="0" collapsed="false">
      <c r="A7" s="8" t="s">
        <v>32</v>
      </c>
      <c r="B7" s="14" t="n">
        <v>49.086</v>
      </c>
      <c r="C7" s="8" t="s">
        <v>19</v>
      </c>
      <c r="D7" s="8" t="s">
        <v>20</v>
      </c>
      <c r="E7" s="8" t="s">
        <v>334</v>
      </c>
      <c r="F7" s="8" t="s">
        <v>21</v>
      </c>
      <c r="G7" s="8" t="n">
        <v>47.3</v>
      </c>
      <c r="H7" s="8" t="s">
        <v>335</v>
      </c>
      <c r="I7" s="8" t="s">
        <v>339</v>
      </c>
    </row>
    <row r="8" customFormat="false" ht="15" hidden="false" customHeight="false" outlineLevel="0" collapsed="false">
      <c r="A8" s="8" t="s">
        <v>340</v>
      </c>
      <c r="B8" s="14" t="n">
        <v>8.098</v>
      </c>
      <c r="C8" s="8" t="s">
        <v>19</v>
      </c>
      <c r="D8" s="8" t="s">
        <v>20</v>
      </c>
      <c r="E8" s="8" t="s">
        <v>341</v>
      </c>
      <c r="F8" s="8" t="s">
        <v>342</v>
      </c>
      <c r="G8" s="8" t="s">
        <v>343</v>
      </c>
      <c r="H8" s="8" t="s">
        <v>344</v>
      </c>
      <c r="I8" s="8" t="s">
        <v>345</v>
      </c>
    </row>
    <row r="9" customFormat="false" ht="15" hidden="false" customHeight="false" outlineLevel="0" collapsed="false">
      <c r="A9" s="8" t="s">
        <v>214</v>
      </c>
      <c r="B9" s="14" t="n">
        <v>-118.361</v>
      </c>
      <c r="C9" s="8" t="s">
        <v>19</v>
      </c>
      <c r="D9" s="8" t="s">
        <v>20</v>
      </c>
      <c r="E9" s="8" t="s">
        <v>346</v>
      </c>
      <c r="F9" s="8" t="s">
        <v>347</v>
      </c>
      <c r="G9" s="8" t="n">
        <v>-69.275</v>
      </c>
      <c r="H9" s="8" t="s">
        <v>348</v>
      </c>
      <c r="I9" s="8" t="s">
        <v>349</v>
      </c>
    </row>
    <row r="10" customFormat="false" ht="15" hidden="false" customHeight="false" outlineLevel="0" collapsed="false">
      <c r="A10" s="8" t="s">
        <v>37</v>
      </c>
      <c r="B10" s="14" t="n">
        <v>-84.838</v>
      </c>
      <c r="C10" s="8" t="s">
        <v>19</v>
      </c>
      <c r="D10" s="8" t="s">
        <v>20</v>
      </c>
      <c r="E10" s="8" t="s">
        <v>334</v>
      </c>
      <c r="F10" s="8" t="s">
        <v>27</v>
      </c>
      <c r="G10" s="8" t="n">
        <v>-82.4</v>
      </c>
      <c r="H10" s="8" t="s">
        <v>335</v>
      </c>
      <c r="I10" s="8" t="s">
        <v>350</v>
      </c>
    </row>
    <row r="11" customFormat="false" ht="15" hidden="false" customHeight="false" outlineLevel="0" collapsed="false">
      <c r="A11" s="8" t="s">
        <v>351</v>
      </c>
      <c r="B11" s="14" t="n">
        <v>401.176</v>
      </c>
      <c r="C11" s="8" t="s">
        <v>19</v>
      </c>
      <c r="D11" s="8" t="s">
        <v>20</v>
      </c>
      <c r="E11" s="8" t="s">
        <v>334</v>
      </c>
      <c r="F11" s="8" t="s">
        <v>21</v>
      </c>
      <c r="G11" s="8"/>
      <c r="H11" s="8"/>
      <c r="I11" s="8" t="s">
        <v>352</v>
      </c>
    </row>
    <row r="12" customFormat="false" ht="15" hidden="false" customHeight="false" outlineLevel="0" collapsed="false">
      <c r="A12" s="8" t="s">
        <v>42</v>
      </c>
      <c r="B12" s="14" t="n">
        <v>811.946</v>
      </c>
      <c r="C12" s="8" t="s">
        <v>19</v>
      </c>
      <c r="D12" s="8" t="s">
        <v>20</v>
      </c>
      <c r="E12" s="8" t="s">
        <v>334</v>
      </c>
      <c r="F12" s="8" t="s">
        <v>21</v>
      </c>
      <c r="G12" s="8" t="s">
        <v>328</v>
      </c>
      <c r="H12" s="8" t="s">
        <v>353</v>
      </c>
      <c r="I12" s="8" t="s">
        <v>354</v>
      </c>
    </row>
    <row r="13" customFormat="false" ht="15" hidden="false" customHeight="false" outlineLevel="0" collapsed="false">
      <c r="A13" s="8" t="s">
        <v>355</v>
      </c>
      <c r="B13" s="14" t="n">
        <v>0.22</v>
      </c>
      <c r="C13" s="8" t="s">
        <v>52</v>
      </c>
      <c r="D13" s="8" t="s">
        <v>356</v>
      </c>
      <c r="E13" s="8" t="s">
        <v>357</v>
      </c>
      <c r="F13" s="8" t="s">
        <v>54</v>
      </c>
      <c r="G13" s="8" t="s">
        <v>358</v>
      </c>
      <c r="H13" s="8" t="s">
        <v>359</v>
      </c>
      <c r="I13" s="8" t="s">
        <v>360</v>
      </c>
    </row>
    <row r="14" customFormat="false" ht="15" hidden="false" customHeight="false" outlineLevel="0" collapsed="false">
      <c r="A14" s="8" t="s">
        <v>154</v>
      </c>
      <c r="B14" s="14" t="n">
        <v>980.91538</v>
      </c>
      <c r="C14" s="8" t="s">
        <v>19</v>
      </c>
      <c r="D14" s="8" t="s">
        <v>20</v>
      </c>
      <c r="E14" s="8" t="s">
        <v>361</v>
      </c>
      <c r="F14" s="8" t="s">
        <v>362</v>
      </c>
      <c r="G14" s="8" t="n">
        <v>804.029</v>
      </c>
      <c r="H14" s="8" t="s">
        <v>363</v>
      </c>
      <c r="I14" s="8" t="s">
        <v>364</v>
      </c>
    </row>
    <row r="15" customFormat="false" ht="15" hidden="false" customHeight="false" outlineLevel="0" collapsed="false">
      <c r="A15" s="8" t="s">
        <v>365</v>
      </c>
      <c r="B15" s="8" t="s">
        <v>366</v>
      </c>
      <c r="C15" s="8" t="s">
        <v>57</v>
      </c>
      <c r="D15" s="8" t="s">
        <v>356</v>
      </c>
      <c r="E15" s="8" t="s">
        <v>15</v>
      </c>
      <c r="F15" s="8" t="s">
        <v>54</v>
      </c>
      <c r="G15" s="8" t="s">
        <v>367</v>
      </c>
      <c r="H15" s="8" t="s">
        <v>368</v>
      </c>
      <c r="I15" s="8" t="s">
        <v>369</v>
      </c>
    </row>
    <row r="16" customFormat="false" ht="15" hidden="false" customHeight="false" outlineLevel="0" collapsed="false">
      <c r="A16" s="8" t="s">
        <v>163</v>
      </c>
      <c r="B16" s="14" t="n">
        <v>0.125</v>
      </c>
      <c r="C16" s="8" t="s">
        <v>52</v>
      </c>
      <c r="D16" s="8" t="s">
        <v>356</v>
      </c>
      <c r="E16" s="8" t="s">
        <v>357</v>
      </c>
      <c r="F16" s="8" t="s">
        <v>54</v>
      </c>
      <c r="G16" s="8" t="s">
        <v>370</v>
      </c>
      <c r="H16" s="8" t="s">
        <v>371</v>
      </c>
      <c r="I16" s="8" t="s">
        <v>372</v>
      </c>
    </row>
    <row r="17" customFormat="false" ht="28.35" hidden="false" customHeight="false" outlineLevel="0" collapsed="false">
      <c r="A17" s="8" t="s">
        <v>76</v>
      </c>
      <c r="B17" s="14" t="n">
        <v>143.716563</v>
      </c>
      <c r="C17" s="8" t="s">
        <v>69</v>
      </c>
      <c r="D17" s="8" t="s">
        <v>373</v>
      </c>
      <c r="E17" s="8" t="s">
        <v>374</v>
      </c>
      <c r="F17" s="8" t="s">
        <v>375</v>
      </c>
      <c r="G17" s="8" t="n">
        <v>141.2</v>
      </c>
      <c r="H17" s="8" t="s">
        <v>376</v>
      </c>
      <c r="I17" s="8" t="s">
        <v>377</v>
      </c>
    </row>
    <row r="18" customFormat="false" ht="15" hidden="false" customHeight="false" outlineLevel="0" collapsed="false">
      <c r="A18" s="8" t="s">
        <v>166</v>
      </c>
      <c r="B18" s="14" t="n">
        <v>34</v>
      </c>
      <c r="C18" s="8" t="s">
        <v>45</v>
      </c>
      <c r="D18" s="8"/>
      <c r="E18" s="8" t="s">
        <v>66</v>
      </c>
      <c r="F18" s="8" t="s">
        <v>54</v>
      </c>
      <c r="G18" s="8" t="s">
        <v>378</v>
      </c>
      <c r="H18" s="8" t="s">
        <v>379</v>
      </c>
      <c r="I18" s="8" t="s">
        <v>380</v>
      </c>
    </row>
    <row r="19" customFormat="false" ht="15" hidden="false" customHeight="false" outlineLevel="0" collapsed="false">
      <c r="A19" s="8" t="s">
        <v>68</v>
      </c>
      <c r="B19" s="14" t="n">
        <v>15.276527</v>
      </c>
      <c r="C19" s="8" t="s">
        <v>69</v>
      </c>
      <c r="D19" s="8" t="s">
        <v>70</v>
      </c>
      <c r="E19" s="8" t="s">
        <v>381</v>
      </c>
      <c r="F19" s="8" t="s">
        <v>21</v>
      </c>
      <c r="G19" s="8" t="n">
        <v>22</v>
      </c>
      <c r="H19" s="8" t="s">
        <v>382</v>
      </c>
      <c r="I19" s="8" t="s">
        <v>383</v>
      </c>
    </row>
    <row r="20" customFormat="false" ht="15" hidden="false" customHeight="false" outlineLevel="0" collapsed="false">
      <c r="A20" s="8" t="s">
        <v>72</v>
      </c>
      <c r="B20" s="14" t="n">
        <v>6.723473</v>
      </c>
      <c r="C20" s="8" t="s">
        <v>69</v>
      </c>
      <c r="D20" s="8" t="s">
        <v>70</v>
      </c>
      <c r="E20" s="8" t="s">
        <v>381</v>
      </c>
      <c r="F20" s="8" t="s">
        <v>21</v>
      </c>
      <c r="G20" s="8" t="s">
        <v>384</v>
      </c>
      <c r="H20" s="8" t="s">
        <v>353</v>
      </c>
      <c r="I20" s="8" t="s">
        <v>385</v>
      </c>
    </row>
    <row r="21" customFormat="false" ht="15" hidden="false" customHeight="false" outlineLevel="0" collapsed="false">
      <c r="A21" s="8" t="s">
        <v>386</v>
      </c>
      <c r="B21" s="14" t="n">
        <v>3.3</v>
      </c>
      <c r="C21" s="8" t="s">
        <v>69</v>
      </c>
      <c r="D21" s="8" t="s">
        <v>70</v>
      </c>
      <c r="E21" s="8" t="s">
        <v>381</v>
      </c>
      <c r="F21" s="8" t="s">
        <v>21</v>
      </c>
      <c r="G21" s="8" t="s">
        <v>387</v>
      </c>
      <c r="H21" s="8" t="s">
        <v>353</v>
      </c>
      <c r="I21" s="8" t="s">
        <v>388</v>
      </c>
    </row>
    <row r="22" customFormat="false" ht="28.35" hidden="false" customHeight="false" outlineLevel="0" collapsed="false">
      <c r="A22" s="8" t="s">
        <v>389</v>
      </c>
      <c r="B22" s="14" t="n">
        <v>0.05</v>
      </c>
      <c r="C22" s="8" t="s">
        <v>390</v>
      </c>
      <c r="D22" s="8" t="s">
        <v>391</v>
      </c>
      <c r="E22" s="8" t="s">
        <v>392</v>
      </c>
      <c r="F22" s="8" t="s">
        <v>393</v>
      </c>
      <c r="G22" s="8" t="s">
        <v>394</v>
      </c>
      <c r="H22" s="8" t="s">
        <v>395</v>
      </c>
      <c r="I22" s="8" t="s">
        <v>396</v>
      </c>
    </row>
    <row r="23" customFormat="false" ht="15" hidden="false" customHeight="false" outlineLevel="0" collapsed="false">
      <c r="A23" s="8" t="s">
        <v>82</v>
      </c>
      <c r="B23" s="14" t="n">
        <v>7</v>
      </c>
      <c r="C23" s="8" t="s">
        <v>19</v>
      </c>
      <c r="D23" s="8"/>
      <c r="E23" s="8" t="s">
        <v>66</v>
      </c>
      <c r="F23" s="8" t="s">
        <v>54</v>
      </c>
      <c r="G23" s="8" t="s">
        <v>397</v>
      </c>
      <c r="H23" s="8" t="s">
        <v>398</v>
      </c>
      <c r="I23" s="8" t="s">
        <v>399</v>
      </c>
    </row>
    <row r="24" customFormat="false" ht="15" hidden="false" customHeight="false" outlineLevel="0" collapsed="false">
      <c r="A24" s="8" t="s">
        <v>400</v>
      </c>
      <c r="B24" s="14" t="n">
        <v>11.17</v>
      </c>
      <c r="C24" s="8" t="s">
        <v>45</v>
      </c>
      <c r="D24" s="8" t="s">
        <v>46</v>
      </c>
      <c r="E24" s="8" t="s">
        <v>401</v>
      </c>
      <c r="F24" s="8" t="s">
        <v>402</v>
      </c>
      <c r="G24" s="8" t="s">
        <v>403</v>
      </c>
      <c r="H24" s="8" t="s">
        <v>404</v>
      </c>
      <c r="I24" s="8" t="s">
        <v>405</v>
      </c>
    </row>
    <row r="25" customFormat="false" ht="15" hidden="false" customHeight="false" outlineLevel="0" collapsed="false">
      <c r="A25" s="8" t="s">
        <v>406</v>
      </c>
      <c r="B25" s="14" t="n">
        <v>21.33</v>
      </c>
      <c r="C25" s="8" t="s">
        <v>45</v>
      </c>
      <c r="D25" s="8" t="s">
        <v>46</v>
      </c>
      <c r="E25" s="8" t="s">
        <v>401</v>
      </c>
      <c r="F25" s="8" t="s">
        <v>402</v>
      </c>
      <c r="G25" s="8" t="s">
        <v>403</v>
      </c>
      <c r="H25" s="8" t="s">
        <v>404</v>
      </c>
      <c r="I25" s="8" t="s">
        <v>407</v>
      </c>
    </row>
    <row r="26" customFormat="false" ht="28.35" hidden="false" customHeight="false" outlineLevel="0" collapsed="false">
      <c r="A26" s="8" t="s">
        <v>408</v>
      </c>
      <c r="B26" s="8" t="s">
        <v>409</v>
      </c>
      <c r="C26" s="8" t="s">
        <v>45</v>
      </c>
      <c r="D26" s="8"/>
      <c r="E26" s="8" t="s">
        <v>410</v>
      </c>
      <c r="F26" s="8" t="s">
        <v>411</v>
      </c>
      <c r="G26" s="8" t="s">
        <v>378</v>
      </c>
      <c r="H26" s="8" t="s">
        <v>379</v>
      </c>
      <c r="I26" s="8" t="s">
        <v>412</v>
      </c>
    </row>
    <row r="27" customFormat="false" ht="15" hidden="false" customHeight="false" outlineLevel="0" collapsed="false">
      <c r="A27" s="8" t="s">
        <v>244</v>
      </c>
      <c r="B27" s="8" t="s">
        <v>413</v>
      </c>
      <c r="C27" s="8" t="s">
        <v>230</v>
      </c>
      <c r="D27" s="8"/>
      <c r="E27" s="8" t="s">
        <v>15</v>
      </c>
      <c r="F27" s="8" t="s">
        <v>414</v>
      </c>
      <c r="G27" s="8" t="s">
        <v>415</v>
      </c>
      <c r="H27" s="8" t="s">
        <v>353</v>
      </c>
      <c r="I27" s="8" t="s">
        <v>416</v>
      </c>
    </row>
  </sheetData>
  <autoFilter ref="A1:I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2026-10-09T13:23:01Z</dcterms:created>
  <dc:creator>openpyxl</dc:creator>
  <dc:description/>
  <dc:language>en-US</dc:language>
  <cp:lastModifiedBy/>
  <dcterms:modified xsi:type="dcterms:W3CDTF">2026-10-09T13:23:01Z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