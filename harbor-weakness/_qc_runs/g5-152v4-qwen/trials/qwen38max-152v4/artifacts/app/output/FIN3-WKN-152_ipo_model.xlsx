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  <sheet xmlns:r="http://schemas.openxmlformats.org/officeDocument/2006/relationships" name="Tieout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00000"/>
    <numFmt numFmtId="166" formatCode="0.0&quot;x&quot;"/>
    <numFmt numFmtId="167" formatCode="#,##0.0000"/>
    <numFmt numFmtId="168" formatCode="0.000"/>
    <numFmt numFmtId="169" formatCode="#,##0.0"/>
    <numFmt numFmtId="170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7" fontId="3" fillId="0" borderId="1" pivotButton="0" quotePrefix="0" xfId="0"/>
    <xf numFmtId="0" fontId="3" fillId="0" borderId="1" applyAlignment="1" pivotButton="0" quotePrefix="0" xfId="0">
      <alignment vertical="top" wrapText="1"/>
    </xf>
    <xf numFmtId="4" fontId="0" fillId="0" borderId="1" pivotButton="0" quotePrefix="0" xfId="0"/>
    <xf numFmtId="4" fontId="4" fillId="4" borderId="1" pivotButton="0" quotePrefix="0" xfId="0"/>
    <xf numFmtId="169" fontId="0" fillId="0" borderId="1" pivotButton="0" quotePrefix="0" xfId="0"/>
    <xf numFmtId="165" fontId="3" fillId="0" borderId="1" pivotButton="0" quotePrefix="0" xfId="0"/>
    <xf numFmtId="10" fontId="3" fillId="0" borderId="1" pivotButton="0" quotePrefix="0" xfId="0"/>
    <xf numFmtId="17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1" customWidth="1" min="4" max="4"/>
    <col width="11" customWidth="1" min="5" max="5"/>
    <col width="9" customWidth="1" min="6" max="6"/>
    <col width="22" customWidth="1" min="7" max="7"/>
    <col width="44" customWidth="1" min="8" max="8"/>
    <col width="40" customWidth="1" min="9" max="9"/>
  </cols>
  <sheetData>
    <row r="1">
      <c r="A1" s="1" t="inlineStr">
        <is>
          <t>项目 Item</t>
        </is>
      </c>
      <c r="B1" s="1" t="inlineStr">
        <is>
          <t>FY2022 / Base</t>
        </is>
      </c>
      <c r="C1" s="1" t="inlineStr">
        <is>
          <t>FY2023 / Full</t>
        </is>
      </c>
      <c r="D1" s="1" t="inlineStr">
        <is>
          <t>单位 Unit</t>
        </is>
      </c>
      <c r="E1" s="1" t="inlineStr">
        <is>
          <t>Source_ID</t>
        </is>
      </c>
      <c r="F1" s="1" t="inlineStr">
        <is>
          <t>Priority</t>
        </is>
      </c>
      <c r="G1" s="1" t="inlineStr">
        <is>
          <t>性质 Nature</t>
        </is>
      </c>
      <c r="H1" s="1" t="inlineStr">
        <is>
          <t>来源文件 File</t>
        </is>
      </c>
      <c r="I1" s="1" t="inlineStr">
        <is>
          <t>备注 Note</t>
        </is>
      </c>
    </row>
    <row r="2">
      <c r="A2" s="2" t="inlineStr">
        <is>
          <t>A. 历史财务 — SEC 公开事实 (Priority 1, 经审计 S-1/A 摘录; Adjusted EBITDA 为管理层非 GAAP 指标, 不在审计意见覆盖范围 SEC-14)</t>
        </is>
      </c>
    </row>
    <row r="3">
      <c r="A3" s="3" t="inlineStr">
        <is>
          <t>Revenue</t>
        </is>
      </c>
      <c r="B3" s="4" t="n">
        <v>666.701</v>
      </c>
      <c r="C3" s="4" t="n">
        <v>804.029</v>
      </c>
      <c r="D3" s="3" t="inlineStr">
        <is>
          <t>USD mm</t>
        </is>
      </c>
      <c r="E3" s="3" t="inlineStr">
        <is>
          <t>SEC-01</t>
        </is>
      </c>
      <c r="F3" s="4" t="n">
        <v>1</v>
      </c>
      <c r="G3" s="3" t="inlineStr">
        <is>
          <t>SEC 公开事实</t>
        </is>
      </c>
      <c r="H3" s="3" t="inlineStr">
        <is>
          <t>sec_filings/SEC-01_financials_extract.xlsx</t>
        </is>
      </c>
      <c r="I3" s="3" t="inlineStr">
        <is>
          <t>与 financials/ 明细勾稽核验后采用 (见 Tieout_Detail)</t>
        </is>
      </c>
    </row>
    <row r="4">
      <c r="A4" s="3" t="inlineStr">
        <is>
          <t>Advertising revenue</t>
        </is>
      </c>
      <c r="B4" s="4" t="n">
        <v>652.562</v>
      </c>
      <c r="C4" s="4" t="n">
        <v>788.782</v>
      </c>
      <c r="D4" s="3" t="inlineStr">
        <is>
          <t>USD mm</t>
        </is>
      </c>
      <c r="E4" s="3" t="inlineStr">
        <is>
          <t>SEC-01</t>
        </is>
      </c>
      <c r="F4" s="4" t="n">
        <v>1</v>
      </c>
      <c r="G4" s="3" t="inlineStr">
        <is>
          <t>SEC 公开事实</t>
        </is>
      </c>
      <c r="H4" s="3" t="inlineStr">
        <is>
          <t>sec_filings/SEC-01_financials_extract.xlsx</t>
        </is>
      </c>
      <c r="I4" s="3" t="inlineStr">
        <is>
          <t>与 financials/ 明细勾稽核验后采用 (见 Tieout_Detail)</t>
        </is>
      </c>
    </row>
    <row r="5">
      <c r="A5" s="3" t="inlineStr">
        <is>
          <t>Other revenue</t>
        </is>
      </c>
      <c r="B5" s="4" t="n">
        <v>14.139</v>
      </c>
      <c r="C5" s="4" t="n">
        <v>15.247</v>
      </c>
      <c r="D5" s="3" t="inlineStr">
        <is>
          <t>USD mm</t>
        </is>
      </c>
      <c r="E5" s="3" t="inlineStr">
        <is>
          <t>SEC-01</t>
        </is>
      </c>
      <c r="F5" s="4" t="n">
        <v>1</v>
      </c>
      <c r="G5" s="3" t="inlineStr">
        <is>
          <t>SEC 公开事实</t>
        </is>
      </c>
      <c r="H5" s="3" t="inlineStr">
        <is>
          <t>sec_filings/SEC-01_financials_extract.xlsx</t>
        </is>
      </c>
      <c r="I5" s="3" t="inlineStr">
        <is>
          <t>与 financials/ 明细勾稽核验后采用 (见 Tieout_Detail)</t>
        </is>
      </c>
    </row>
    <row r="6">
      <c r="A6" s="3" t="inlineStr">
        <is>
          <t>Net income (loss)</t>
        </is>
      </c>
      <c r="B6" s="4" t="n">
        <v>-158.55</v>
      </c>
      <c r="C6" s="4" t="n">
        <v>-90.824</v>
      </c>
      <c r="D6" s="3" t="inlineStr">
        <is>
          <t>USD mm</t>
        </is>
      </c>
      <c r="E6" s="3" t="inlineStr">
        <is>
          <t>SEC-01</t>
        </is>
      </c>
      <c r="F6" s="4" t="n">
        <v>1</v>
      </c>
      <c r="G6" s="3" t="inlineStr">
        <is>
          <t>SEC 公开事实</t>
        </is>
      </c>
      <c r="H6" s="3" t="inlineStr">
        <is>
          <t>sec_filings/SEC-01_financials_extract.xlsx</t>
        </is>
      </c>
      <c r="I6" s="3" t="inlineStr">
        <is>
          <t>与 financials/ 明细勾稽核验后采用 (见 Tieout_Detail)</t>
        </is>
      </c>
    </row>
    <row r="7">
      <c r="A7" s="3" t="inlineStr">
        <is>
          <t>Adjusted EBITDA (management, 非GAAP)</t>
        </is>
      </c>
      <c r="B7" s="4" t="n">
        <v>-108.393</v>
      </c>
      <c r="C7" s="4" t="n">
        <v>-69.27500000000001</v>
      </c>
      <c r="D7" s="3" t="inlineStr">
        <is>
          <t>USD mm</t>
        </is>
      </c>
      <c r="E7" s="3" t="inlineStr">
        <is>
          <t>SEC-01</t>
        </is>
      </c>
      <c r="F7" s="4" t="n">
        <v>1</v>
      </c>
      <c r="G7" s="3" t="inlineStr">
        <is>
          <t>SEC 公开事实</t>
        </is>
      </c>
      <c r="H7" s="3" t="inlineStr">
        <is>
          <t>sec_filings/SEC-01_financials_extract.xlsx</t>
        </is>
      </c>
      <c r="I7" s="3" t="inlineStr">
        <is>
          <t>与 financials/ 明细勾稽核验后采用 (见 Tieout_Detail)</t>
        </is>
      </c>
    </row>
    <row r="8">
      <c r="A8" s="3" t="inlineStr">
        <is>
          <t>Stock-based compensation &amp; related taxes</t>
        </is>
      </c>
      <c r="B8" s="4" t="n">
        <v>55.768</v>
      </c>
      <c r="C8" s="4" t="n">
        <v>49.086</v>
      </c>
      <c r="D8" s="3" t="inlineStr">
        <is>
          <t>USD mm</t>
        </is>
      </c>
      <c r="E8" s="3" t="inlineStr">
        <is>
          <t>SEC-01</t>
        </is>
      </c>
      <c r="F8" s="4" t="n">
        <v>1</v>
      </c>
      <c r="G8" s="3" t="inlineStr">
        <is>
          <t>SEC 公开事实</t>
        </is>
      </c>
      <c r="H8" s="3" t="inlineStr">
        <is>
          <t>sec_filings/SEC-01_financials_extract.xlsx</t>
        </is>
      </c>
      <c r="I8" s="3" t="inlineStr">
        <is>
          <t>与 financials/ 明细勾稽核验后采用 (见 Tieout_Detail)</t>
        </is>
      </c>
    </row>
    <row r="9">
      <c r="A9" s="3" t="inlineStr">
        <is>
          <t>Restructuring costs</t>
        </is>
      </c>
      <c r="B9" s="4" t="n">
        <v>0</v>
      </c>
      <c r="C9" s="4" t="n">
        <v>8.098000000000001</v>
      </c>
      <c r="D9" s="3" t="inlineStr">
        <is>
          <t>USD mm</t>
        </is>
      </c>
      <c r="E9" s="3" t="inlineStr">
        <is>
          <t>SEC-01</t>
        </is>
      </c>
      <c r="F9" s="4" t="n">
        <v>1</v>
      </c>
      <c r="G9" s="3" t="inlineStr">
        <is>
          <t>SEC 公开事实</t>
        </is>
      </c>
      <c r="H9" s="3" t="inlineStr">
        <is>
          <t>sec_filings/SEC-01_financials_extract.xlsx</t>
        </is>
      </c>
      <c r="I9" s="3" t="inlineStr">
        <is>
          <t>与 financials/ 明细勾稽核验后采用 (见 Tieout_Detail)</t>
        </is>
      </c>
    </row>
    <row r="10">
      <c r="A10" s="3" t="inlineStr">
        <is>
          <t>Depreciation &amp; amortization</t>
        </is>
      </c>
      <c r="B10" s="4" t="n">
        <v>8</v>
      </c>
      <c r="C10" s="4" t="n">
        <v>13.702</v>
      </c>
      <c r="D10" s="3" t="inlineStr">
        <is>
          <t>USD mm</t>
        </is>
      </c>
      <c r="E10" s="3" t="inlineStr">
        <is>
          <t>SEC-01</t>
        </is>
      </c>
      <c r="F10" s="4" t="n">
        <v>1</v>
      </c>
      <c r="G10" s="3" t="inlineStr">
        <is>
          <t>SEC 公开事实</t>
        </is>
      </c>
      <c r="H10" s="3" t="inlineStr">
        <is>
          <t>sec_filings/SEC-01_financials_extract.xlsx</t>
        </is>
      </c>
      <c r="I10" s="3" t="inlineStr">
        <is>
          <t>与 financials/ 明细勾稽核验后采用 (见 Tieout_Detail)</t>
        </is>
      </c>
    </row>
    <row r="11">
      <c r="A11" s="3" t="inlineStr">
        <is>
          <t>Free Cash Flow</t>
        </is>
      </c>
      <c r="B11" s="4" t="n">
        <v>-100.254</v>
      </c>
      <c r="C11" s="4" t="n">
        <v>-84.83799999999999</v>
      </c>
      <c r="D11" s="3" t="inlineStr">
        <is>
          <t>USD mm</t>
        </is>
      </c>
      <c r="E11" s="3" t="inlineStr">
        <is>
          <t>SEC-01</t>
        </is>
      </c>
      <c r="F11" s="4" t="n">
        <v>1</v>
      </c>
      <c r="G11" s="3" t="inlineStr">
        <is>
          <t>SEC 公开事实</t>
        </is>
      </c>
      <c r="H11" s="3" t="inlineStr">
        <is>
          <t>sec_filings/SEC-01_financials_extract.xlsx</t>
        </is>
      </c>
      <c r="I11" s="3" t="inlineStr">
        <is>
          <t>与 financials/ 明细勾稽核验后采用 (见 Tieout_Detail)</t>
        </is>
      </c>
    </row>
    <row r="12">
      <c r="A12" s="3" t="inlineStr">
        <is>
          <t>Cash &amp; cash equivalents</t>
        </is>
      </c>
      <c r="B12" s="4" t="n">
        <v>435.81</v>
      </c>
      <c r="C12" s="4" t="n">
        <v>401.176</v>
      </c>
      <c r="D12" s="3" t="inlineStr">
        <is>
          <t>USD mm</t>
        </is>
      </c>
      <c r="E12" s="3" t="inlineStr">
        <is>
          <t>SEC-01</t>
        </is>
      </c>
      <c r="F12" s="4" t="n">
        <v>1</v>
      </c>
      <c r="G12" s="3" t="inlineStr">
        <is>
          <t>SEC 公开事实</t>
        </is>
      </c>
      <c r="H12" s="3" t="inlineStr">
        <is>
          <t>sec_filings/SEC-01_financials_extract.xlsx</t>
        </is>
      </c>
      <c r="I12" s="3" t="inlineStr">
        <is>
          <t>与 financials/ 明细勾稽核验后采用 (见 Tieout_Detail)</t>
        </is>
      </c>
    </row>
    <row r="13">
      <c r="A13" s="3" t="inlineStr">
        <is>
          <t>Marketable securities</t>
        </is>
      </c>
      <c r="B13" s="4" t="n">
        <v>830.734</v>
      </c>
      <c r="C13" s="4" t="n">
        <v>811.946</v>
      </c>
      <c r="D13" s="3" t="inlineStr">
        <is>
          <t>USD mm</t>
        </is>
      </c>
      <c r="E13" s="3" t="inlineStr">
        <is>
          <t>SEC-01</t>
        </is>
      </c>
      <c r="F13" s="4" t="n">
        <v>1</v>
      </c>
      <c r="G13" s="3" t="inlineStr">
        <is>
          <t>SEC 公开事实</t>
        </is>
      </c>
      <c r="H13" s="3" t="inlineStr">
        <is>
          <t>sec_filings/SEC-01_financials_extract.xlsx</t>
        </is>
      </c>
      <c r="I13" s="3" t="inlineStr">
        <is>
          <t>与 financials/ 明细勾稽核验后采用 (见 Tieout_Detail)</t>
        </is>
      </c>
    </row>
    <row r="14">
      <c r="A14" s="3" t="inlineStr">
        <is>
          <t>Cash + marketable securities (净现金桥合计)</t>
        </is>
      </c>
      <c r="B14" s="4" t="n">
        <v>1266.544</v>
      </c>
      <c r="C14" s="4" t="n">
        <v>1213.122</v>
      </c>
      <c r="D14" s="3" t="inlineStr">
        <is>
          <t>USD mm</t>
        </is>
      </c>
      <c r="E14" s="3" t="inlineStr">
        <is>
          <t>SEC-01</t>
        </is>
      </c>
      <c r="F14" s="4" t="n">
        <v>1</v>
      </c>
      <c r="G14" s="3" t="inlineStr">
        <is>
          <t>SEC 公开事实</t>
        </is>
      </c>
      <c r="H14" s="3" t="inlineStr">
        <is>
          <t>financials/balance_sheet_summary_2022_2023.csv</t>
        </is>
      </c>
      <c r="I14" s="3" t="inlineStr">
        <is>
          <t>算式 FY2023: 401.176 + 811.946 = 1,213.122 (CP-08 须全额入桥)</t>
        </is>
      </c>
    </row>
    <row r="15">
      <c r="A15" s="2" t="inlineStr">
        <is>
          <t>B. 发行机制 — SEC 公开事实 (SEC-03) 与委员会条款工作簿 (Offering_Terms_20240320, 两者交叉一致)</t>
        </is>
      </c>
    </row>
    <row r="16">
      <c r="A16" s="3" t="inlineStr">
        <is>
          <t>Primary shares offered (Base / Full)</t>
        </is>
      </c>
      <c r="B16" s="5" t="n">
        <v>15.276527</v>
      </c>
      <c r="C16" s="5" t="n">
        <v>18.576527</v>
      </c>
      <c r="D16" s="3" t="inlineStr">
        <is>
          <t>mm shares</t>
        </is>
      </c>
      <c r="E16" s="3" t="inlineStr">
        <is>
          <t>SEC-03</t>
        </is>
      </c>
      <c r="F16" s="5" t="n">
        <v>1</v>
      </c>
      <c r="G16" s="3" t="inlineStr">
        <is>
          <t>SEC 公开事实</t>
        </is>
      </c>
      <c r="H16" s="6" t="inlineStr">
        <is>
          <t>sec_filings/SEC-03_offering_terms.xlsx; committee/Offering_Terms_20240320.xlsx</t>
        </is>
      </c>
      <c r="I16" s="3" t="inlineStr">
        <is>
          <t>Full = Base + greenshoe 3.3</t>
        </is>
      </c>
    </row>
    <row r="17">
      <c r="A17" s="3" t="inlineStr">
        <is>
          <t>Secondary shares offered</t>
        </is>
      </c>
      <c r="B17" s="5" t="n">
        <v>6.723473</v>
      </c>
      <c r="C17" s="5" t="n">
        <v>6.723473</v>
      </c>
      <c r="D17" s="3" t="inlineStr">
        <is>
          <t>mm shares</t>
        </is>
      </c>
      <c r="E17" s="3" t="inlineStr">
        <is>
          <t>SEC-03</t>
        </is>
      </c>
      <c r="F17" s="5" t="n">
        <v>1</v>
      </c>
      <c r="G17" s="3" t="inlineStr">
        <is>
          <t>SEC 公开事实</t>
        </is>
      </c>
      <c r="H17" s="3" t="inlineStr">
        <is>
          <t>同上</t>
        </is>
      </c>
      <c r="I17" s="3" t="inlineStr">
        <is>
          <t>归出售股东; 不形成公司募集、不增公司总股数 (CP-10/SEC-12)</t>
        </is>
      </c>
    </row>
    <row r="18">
      <c r="A18" s="3" t="inlineStr">
        <is>
          <t>Greenshoe (over-allotment option)</t>
        </is>
      </c>
      <c r="B18" s="5" t="n">
        <v>0</v>
      </c>
      <c r="C18" s="5" t="n">
        <v>3.3</v>
      </c>
      <c r="D18" s="3" t="inlineStr">
        <is>
          <t>mm shares</t>
        </is>
      </c>
      <c r="E18" s="3" t="inlineStr">
        <is>
          <t>SEC-03</t>
        </is>
      </c>
      <c r="F18" s="5" t="n">
        <v>1</v>
      </c>
      <c r="G18" s="3" t="inlineStr">
        <is>
          <t>SEC 公开事实</t>
        </is>
      </c>
      <c r="H18" s="3" t="inlineStr">
        <is>
          <t>同上</t>
        </is>
      </c>
      <c r="I18" s="3" t="inlineStr">
        <is>
          <t>承销商选择权; Base 不预设行使 (CP-11)</t>
        </is>
      </c>
    </row>
    <row r="19">
      <c r="A19" s="3" t="inlineStr">
        <is>
          <t>Public preliminary range low / high</t>
        </is>
      </c>
      <c r="B19" s="5" t="n">
        <v>31</v>
      </c>
      <c r="C19" s="5" t="n">
        <v>34</v>
      </c>
      <c r="D19" s="3" t="inlineStr">
        <is>
          <t>USD/share</t>
        </is>
      </c>
      <c r="E19" s="3" t="inlineStr">
        <is>
          <t>SEC-03</t>
        </is>
      </c>
      <c r="F19" s="5" t="n">
        <v>1</v>
      </c>
      <c r="G19" s="3" t="inlineStr">
        <is>
          <t>SEC 公开事实</t>
        </is>
      </c>
      <c r="H19" s="3" t="inlineStr">
        <is>
          <t>同上</t>
        </is>
      </c>
      <c r="I19" s="3" t="inlineStr">
        <is>
          <t>仅执行交叉参考, ≠ 委员会支持区间</t>
        </is>
      </c>
    </row>
    <row r="20">
      <c r="A20" s="2" t="inlineStr">
        <is>
          <t>C. 委员会内部假设 (UW-01) — 非 SEC 公开事实, 不得包装为公开披露</t>
        </is>
      </c>
    </row>
    <row r="21">
      <c r="A21" s="3" t="inlineStr">
        <is>
          <t>Proposed Committee Price (拟议价, 决策输入)</t>
        </is>
      </c>
      <c r="B21" s="5" t="n">
        <v>34</v>
      </c>
      <c r="C21" s="5" t="n">
        <v>34</v>
      </c>
      <c r="D21" s="3" t="inlineStr">
        <is>
          <t>USD/share</t>
        </is>
      </c>
      <c r="E21" s="3" t="inlineStr">
        <is>
          <t>UW-01</t>
        </is>
      </c>
      <c r="F21" s="5" t="n">
        <v>1</v>
      </c>
      <c r="G21" s="3" t="inlineStr">
        <is>
          <t>内部委员会假设</t>
        </is>
      </c>
      <c r="H21" s="3" t="inlineStr">
        <is>
          <t>committee/Offering_Terms_20240320.xlsx</t>
        </is>
      </c>
      <c r="I21" s="3" t="inlineStr">
        <is>
          <t>内部工作价, 非已实现结果 (CP-01)</t>
        </is>
      </c>
    </row>
    <row r="22">
      <c r="A22" s="3" t="inlineStr">
        <is>
          <t>2024E revenue growth (CP-06)</t>
        </is>
      </c>
      <c r="B22" s="5" t="n">
        <v>0.22</v>
      </c>
      <c r="C22" s="5" t="n">
        <v>0.22</v>
      </c>
      <c r="D22" s="3" t="inlineStr">
        <is>
          <t>%</t>
        </is>
      </c>
      <c r="E22" s="3" t="inlineStr">
        <is>
          <t>UW-01</t>
        </is>
      </c>
      <c r="F22" s="5" t="n">
        <v>1</v>
      </c>
      <c r="G22" s="3" t="inlineStr">
        <is>
          <t>内部委员会假设</t>
        </is>
      </c>
      <c r="H22" s="3" t="inlineStr">
        <is>
          <t>committee/Underwriting_Assumptions_20240320.xlsx</t>
        </is>
      </c>
      <c r="I22" s="3" t="inlineStr">
        <is>
          <t>内部预测假设; 行业中位 18% 仅背景不采用</t>
        </is>
      </c>
    </row>
    <row r="23">
      <c r="A23" s="3" t="inlineStr">
        <is>
          <t>Peer EV/NTM Revenue low / mid / high (CP-07)</t>
        </is>
      </c>
      <c r="B23" s="5" t="n">
        <v>4</v>
      </c>
      <c r="C23" s="5" t="n">
        <v>5</v>
      </c>
      <c r="D23" s="3" t="inlineStr">
        <is>
          <t>x</t>
        </is>
      </c>
      <c r="E23" s="3" t="inlineStr">
        <is>
          <t>UW-01</t>
        </is>
      </c>
      <c r="F23" s="5" t="n">
        <v>1</v>
      </c>
      <c r="G23" s="3" t="inlineStr">
        <is>
          <t>内部委员会假设</t>
        </is>
      </c>
      <c r="H23" s="3" t="inlineStr">
        <is>
          <t>committee/Committee_Policy_v3 (Committee_Peer_Set)</t>
        </is>
      </c>
      <c r="I23" s="3" t="inlineStr">
        <is>
          <t>中点 4.5x; peer 等权均值 4.52x 印证; BANK-A/B comps 仅交叉验证</t>
        </is>
      </c>
    </row>
    <row r="24">
      <c r="A24" s="3" t="inlineStr">
        <is>
          <t>IPO execution discount (CP-09)</t>
        </is>
      </c>
      <c r="B24" s="5" t="n">
        <v>0.125</v>
      </c>
      <c r="C24" s="5" t="n">
        <v>0.125</v>
      </c>
      <c r="D24" s="3" t="inlineStr">
        <is>
          <t>%</t>
        </is>
      </c>
      <c r="E24" s="3" t="inlineStr">
        <is>
          <t>UW-01</t>
        </is>
      </c>
      <c r="F24" s="5" t="n">
        <v>1</v>
      </c>
      <c r="G24" s="3" t="inlineStr">
        <is>
          <t>内部委员会假设</t>
        </is>
      </c>
      <c r="H24" s="3" t="inlineStr">
        <is>
          <t>committee/Underwriting_Assumptions_20240320.xlsx</t>
        </is>
      </c>
      <c r="I24" s="3" t="inlineStr">
        <is>
          <t>作用于 peer-implied 每股价值 (邮件第4条)</t>
        </is>
      </c>
    </row>
    <row r="25">
      <c r="A25" s="3" t="inlineStr">
        <is>
          <t>Underwriting fee (CP-12)</t>
        </is>
      </c>
      <c r="B25" s="5" t="n">
        <v>0.05</v>
      </c>
      <c r="C25" s="5" t="n">
        <v>0.05</v>
      </c>
      <c r="D25" s="3" t="inlineStr">
        <is>
          <t>% primary gross</t>
        </is>
      </c>
      <c r="E25" s="3" t="inlineStr">
        <is>
          <t>UW-01</t>
        </is>
      </c>
      <c r="F25" s="5" t="n">
        <v>1</v>
      </c>
      <c r="G25" s="3" t="inlineStr">
        <is>
          <t>内部委员会假设</t>
        </is>
      </c>
      <c r="H25" s="3" t="inlineStr">
        <is>
          <t>committee/Offering_Terms_20240320.xlsx</t>
        </is>
      </c>
      <c r="I25" s="3" t="inlineStr">
        <is>
          <t>基数=公司 primary gross; secondary 不入基数 (SEC-10)</t>
        </is>
      </c>
    </row>
    <row r="26">
      <c r="A26" s="3" t="inlineStr">
        <is>
          <t>Fixed company offering expenses (CP-12)</t>
        </is>
      </c>
      <c r="B26" s="5" t="n">
        <v>7</v>
      </c>
      <c r="C26" s="5" t="n">
        <v>7</v>
      </c>
      <c r="D26" s="3" t="inlineStr">
        <is>
          <t>USD mm</t>
        </is>
      </c>
      <c r="E26" s="3" t="inlineStr">
        <is>
          <t>UW-01</t>
        </is>
      </c>
      <c r="F26" s="5" t="n">
        <v>1</v>
      </c>
      <c r="G26" s="3" t="inlineStr">
        <is>
          <t>内部委员会假设</t>
        </is>
      </c>
      <c r="H26" s="3" t="inlineStr">
        <is>
          <t>committee/Offering_Terms_20240320.xlsx</t>
        </is>
      </c>
      <c r="I26" s="3" t="inlineStr">
        <is>
          <t>greenshoe 增量不重复计提</t>
        </is>
      </c>
    </row>
    <row r="27">
      <c r="A27" s="3" t="inlineStr">
        <is>
          <t>Pre-money economic shares (cap-table snapshot)</t>
        </is>
      </c>
      <c r="B27" s="5" t="n">
        <v>143.716563</v>
      </c>
      <c r="C27" s="5" t="n">
        <v>143.716563</v>
      </c>
      <c r="D27" s="3" t="inlineStr">
        <is>
          <t>mm shares</t>
        </is>
      </c>
      <c r="E27" s="3" t="inlineStr">
        <is>
          <t>UW-01</t>
        </is>
      </c>
      <c r="F27" s="5" t="n">
        <v>1</v>
      </c>
      <c r="G27" s="3" t="inlineStr">
        <is>
          <t>内部委员会假设</t>
        </is>
      </c>
      <c r="H27" s="3" t="inlineStr">
        <is>
          <t>committee/cap_table_snapshot_20240318.csv</t>
        </is>
      </c>
      <c r="I27" s="6" t="inlineStr">
        <is>
          <t>6 类分项和=TOTAL 行=SEC-09 分项和; 经济口径含未结算 RSU 与 in-the-money options</t>
        </is>
      </c>
    </row>
    <row r="28">
      <c r="A28" s="3" t="inlineStr">
        <is>
          <t>Proceeds midpoint test threshold (CP-14)</t>
        </is>
      </c>
      <c r="B28" s="5" t="n">
        <v>0.5</v>
      </c>
      <c r="C28" s="5" t="n">
        <v>0.5</v>
      </c>
      <c r="D28" s="3" t="inlineStr">
        <is>
          <t>USD/share</t>
        </is>
      </c>
      <c r="E28" s="3" t="inlineStr">
        <is>
          <t>UW-01</t>
        </is>
      </c>
      <c r="F28" s="5" t="n">
        <v>1</v>
      </c>
      <c r="G28" s="3" t="inlineStr">
        <is>
          <t>内部委员会假设</t>
        </is>
      </c>
      <c r="H28" s="3" t="inlineStr">
        <is>
          <t>committee/Committee_Policy_v3_20240320.xlsx (CP-14 条文解析)</t>
        </is>
      </c>
      <c r="I28" s="3" t="inlineStr">
        <is>
          <t>距 midpoint ≤ $0.50 → Proceed 条件之一</t>
        </is>
      </c>
    </row>
    <row r="29">
      <c r="A29" s="2" t="inlineStr">
        <is>
          <t>D. 稀释交叉验算输入 (SEC-02, 独立口径, 仅假定价 $32.50)</t>
        </is>
      </c>
    </row>
    <row r="30">
      <c r="A30" s="3" t="inlineStr">
        <is>
          <t>Preliminary NTBV/share @ $32.50</t>
        </is>
      </c>
      <c r="B30" s="7" t="n">
        <v>11.17</v>
      </c>
      <c r="C30" s="3" t="n"/>
      <c r="D30" s="3" t="inlineStr">
        <is>
          <t>USD/share</t>
        </is>
      </c>
      <c r="E30" s="3" t="inlineStr">
        <is>
          <t>SEC-02</t>
        </is>
      </c>
      <c r="F30" s="7" t="n">
        <v>1</v>
      </c>
      <c r="G30" s="3" t="inlineStr">
        <is>
          <t>SEC 公开事实</t>
        </is>
      </c>
      <c r="H30" s="3" t="inlineStr">
        <is>
          <t>sec_filings/SEC-02_dilution_crosscheck.xlsx</t>
        </is>
      </c>
      <c r="I30" s="3" t="inlineStr">
        <is>
          <t>仅交叉验算, 不按 $34 重标定</t>
        </is>
      </c>
    </row>
    <row r="31">
      <c r="A31" s="3" t="inlineStr">
        <is>
          <t>Preliminary immediate dilution/share @ $32.50</t>
        </is>
      </c>
      <c r="B31" s="7" t="n">
        <v>21.33</v>
      </c>
      <c r="C31" s="3" t="n"/>
      <c r="D31" s="3" t="inlineStr">
        <is>
          <t>USD/share</t>
        </is>
      </c>
      <c r="E31" s="3" t="inlineStr">
        <is>
          <t>SEC-02</t>
        </is>
      </c>
      <c r="F31" s="7" t="n">
        <v>1</v>
      </c>
      <c r="G31" s="3" t="inlineStr">
        <is>
          <t>SEC 公开事实</t>
        </is>
      </c>
      <c r="H31" s="3" t="inlineStr">
        <is>
          <t>同上</t>
        </is>
      </c>
      <c r="I31" s="3" t="inlineStr">
        <is>
          <t>内部一致性: 32.50 − 11.17 = 21.33 ✓</t>
        </is>
      </c>
    </row>
    <row r="32">
      <c r="A32" s="2" t="inlineStr">
        <is>
          <t>E. 控制口径版本与材料清点</t>
        </is>
      </c>
    </row>
    <row r="33">
      <c r="A33" s="3" t="inlineStr">
        <is>
          <t>现行控制口径政策</t>
        </is>
      </c>
      <c r="B33" s="3" t="n"/>
      <c r="C33" s="3" t="n"/>
      <c r="D33" s="3" t="inlineStr">
        <is>
          <t>-</t>
        </is>
      </c>
      <c r="E33" s="3" t="inlineStr">
        <is>
          <t>UW-01</t>
        </is>
      </c>
      <c r="F33" s="3" t="n">
        <v>1</v>
      </c>
      <c r="G33" s="3" t="inlineStr">
        <is>
          <t>内部委员会假设</t>
        </is>
      </c>
      <c r="H33" s="3" t="inlineStr">
        <is>
          <t>committee/Committee_Policy_v3_20240320.xlsx</t>
        </is>
      </c>
      <c r="I33" s="6" t="inlineStr">
        <is>
          <t>文件名日期最新; v2 Revision_Note 自认被取代; data_revision_log 2024-03-20 'v3 is controlling'; 委员会邮件第1条</t>
        </is>
      </c>
    </row>
    <row r="34">
      <c r="A34" s="3" t="inlineStr">
        <is>
          <t>被取代版本</t>
        </is>
      </c>
      <c r="B34" s="3" t="n"/>
      <c r="C34" s="3" t="n"/>
      <c r="D34" s="3" t="inlineStr">
        <is>
          <t>-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committee/Committee_Policy_v2_20240305.xlsx</t>
        </is>
      </c>
      <c r="I34" s="6" t="inlineStr">
        <is>
          <t>**已被 v3（2024-03-20）取代** 取代范围: CP-03 SBC 处理、CP-07 peer 区间、CP-09 执行折扣、CP-12 费用计提基数</t>
        </is>
      </c>
    </row>
    <row r="35">
      <c r="A35" s="3" t="inlineStr">
        <is>
          <t>材料清点 (只读)</t>
        </is>
      </c>
      <c r="B35" s="3" t="n">
        <v>60</v>
      </c>
      <c r="C35" s="3" t="n">
        <v>7</v>
      </c>
      <c r="D35" s="3" t="inlineStr">
        <is>
          <t>files / dirs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/app/input_files/</t>
        </is>
      </c>
      <c r="I35" s="6" t="inlineStr">
        <is>
          <t>总数勾稽: committee=8; comps=4; financials=14; internal=6; legacy=4; research=5; sec_filings=17; 根目录=2 → 合计 60 个文件, 7 个来源目录</t>
        </is>
      </c>
    </row>
  </sheetData>
  <mergeCells count="5">
    <mergeCell ref="A15:I15"/>
    <mergeCell ref="A29:I29"/>
    <mergeCell ref="A2:I2"/>
    <mergeCell ref="A32:I3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60" customWidth="1" min="4" max="4"/>
    <col width="16" customWidth="1" min="5" max="5"/>
  </cols>
  <sheetData>
    <row r="1">
      <c r="A1" s="1" t="inlineStr">
        <is>
          <t>项目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算式 / 说明</t>
        </is>
      </c>
      <c r="E1" s="1" t="inlineStr">
        <is>
          <t>依据</t>
        </is>
      </c>
    </row>
    <row r="2">
      <c r="A2" s="2" t="inlineStr">
        <is>
          <t>① SEC 公开事实起点 (SEC-01, P1)</t>
        </is>
      </c>
    </row>
    <row r="3">
      <c r="A3" s="3" t="inlineStr">
        <is>
          <t>Revenue</t>
        </is>
      </c>
      <c r="B3" s="4" t="n">
        <v>666.701</v>
      </c>
      <c r="C3" s="4" t="n">
        <v>804.029</v>
      </c>
      <c r="D3" s="3" t="inlineStr">
        <is>
          <t>月度/季度/分部/地区明细勾稽核验后与年度数一致 (异常行处置见 Tieout_Detail)</t>
        </is>
      </c>
      <c r="E3" s="3" t="inlineStr">
        <is>
          <t>SEC-01</t>
        </is>
      </c>
    </row>
    <row r="4">
      <c r="A4" s="3" t="inlineStr">
        <is>
          <t>Net income (loss)</t>
        </is>
      </c>
      <c r="B4" s="4" t="n">
        <v>-158.55</v>
      </c>
      <c r="C4" s="4" t="n">
        <v>-90.824</v>
      </c>
      <c r="D4" s="3" t="inlineStr">
        <is>
          <t>利润表内部勾稽: 804.029 − 913.500 + 18.647 = −90.824 ✓</t>
        </is>
      </c>
      <c r="E4" s="3" t="inlineStr">
        <is>
          <t>SEC-01</t>
        </is>
      </c>
    </row>
    <row r="5">
      <c r="A5" s="3" t="inlineStr">
        <is>
          <t>Management Adjusted EBITDA (非 GAAP)</t>
        </is>
      </c>
      <c r="B5" s="4" t="n">
        <v>-108.393</v>
      </c>
      <c r="C5" s="4" t="n">
        <v>-69.27500000000001</v>
      </c>
      <c r="D5" s="3" t="inlineStr">
        <is>
          <t>管理层口径; 不在审计意见覆盖范围 (SEC-14); 承销口径是否保留加回由 v3 政策决定 (SEC-13)</t>
        </is>
      </c>
      <c r="E5" s="3" t="inlineStr">
        <is>
          <t>SEC-01</t>
        </is>
      </c>
    </row>
    <row r="6">
      <c r="A6" s="3" t="inlineStr">
        <is>
          <t>Memo: 管理层调整中已含 SBC &amp; related taxes</t>
        </is>
      </c>
      <c r="B6" s="4" t="n">
        <v>55.768</v>
      </c>
      <c r="C6" s="4" t="n">
        <v>49.086</v>
      </c>
      <c r="D6" s="6" t="inlineStr">
        <is>
          <t>FY2023 分项和 38.500+5.200+1.900+3.486 = 49.086 = SEC-01 (TOTAL 行 49.680 为计算错误, 弃用)</t>
        </is>
      </c>
      <c r="E6" s="3" t="inlineStr">
        <is>
          <t>SEC-01 / sbc_detail</t>
        </is>
      </c>
    </row>
    <row r="7">
      <c r="A7" s="3" t="inlineStr">
        <is>
          <t>Memo: 管理层调整中已含 Restructuring</t>
        </is>
      </c>
      <c r="B7" s="4" t="n">
        <v>0</v>
      </c>
      <c r="C7" s="4" t="n">
        <v>8.098000000000001</v>
      </c>
      <c r="D7" s="3" t="inlineStr">
        <is>
          <t>分项 5.998+1.400+0.700 = 8.098 = TOTAL = SEC-01 ✓</t>
        </is>
      </c>
      <c r="E7" s="3" t="inlineStr">
        <is>
          <t>SEC-01 / restructuring_detail</t>
        </is>
      </c>
    </row>
    <row r="8">
      <c r="A8" s="3" t="inlineStr">
        <is>
          <t>Memo: 管理层调整中已含 D&amp;A</t>
        </is>
      </c>
      <c r="B8" s="4" t="n">
        <v>8</v>
      </c>
      <c r="C8" s="4" t="n">
        <v>13.702</v>
      </c>
      <c r="D8" s="3" t="inlineStr">
        <is>
          <t>-</t>
        </is>
      </c>
      <c r="E8" s="3" t="inlineStr">
        <is>
          <t>SEC-01</t>
        </is>
      </c>
    </row>
    <row r="9">
      <c r="A9" s="2" t="inlineStr">
        <is>
          <t>② 承销口径调整桥 (CP-03 / CP-04) — 详见 FIN3-WKN-152_qoe_bridge.csv</t>
        </is>
      </c>
    </row>
    <row r="10">
      <c r="A10" s="3" t="inlineStr">
        <is>
          <t>起点: Management Adjusted EBITDA</t>
        </is>
      </c>
      <c r="B10" s="4" t="n">
        <v>-108.393</v>
      </c>
      <c r="C10" s="4" t="n">
        <v>-69.27500000000001</v>
      </c>
      <c r="D10" s="3" t="inlineStr">
        <is>
          <t>CP-03: 以管理层口径为起点</t>
        </is>
      </c>
      <c r="E10" s="3" t="inlineStr">
        <is>
          <t>CP-03</t>
        </is>
      </c>
    </row>
    <row r="11">
      <c r="A11" s="3" t="inlineStr">
        <is>
          <t>调整1: 剔除 SBC 加回 (SBC=持续性经济成本)</t>
        </is>
      </c>
      <c r="B11" s="4" t="n">
        <v>-55.768</v>
      </c>
      <c r="C11" s="4" t="n">
        <v>-49.086</v>
      </c>
      <c r="D11" s="3" t="inlineStr">
        <is>
          <t>FY2023 算式: -69.275 − 49.086 = -118.361</t>
        </is>
      </c>
      <c r="E11" s="3" t="inlineStr">
        <is>
          <t>CP-03</t>
        </is>
      </c>
    </row>
    <row r="12">
      <c r="A12" s="3" t="inlineStr">
        <is>
          <t>调整2: 重组费用二次加回 = 0 (禁止 double count)</t>
        </is>
      </c>
      <c r="B12" s="4" t="n">
        <v>0</v>
      </c>
      <c r="C12" s="4" t="n">
        <v>0</v>
      </c>
      <c r="D12" s="3" t="inlineStr">
        <is>
          <t>重组 8.098 已含于管理层 Adjusted EBITDA 调整, 不再重复处理</t>
        </is>
      </c>
      <c r="E12" s="3" t="inlineStr">
        <is>
          <t>CP-04</t>
        </is>
      </c>
    </row>
    <row r="13">
      <c r="A13" s="8">
        <f> Underwriting EBITDA (承销口径)</f>
        <v/>
      </c>
      <c r="B13" s="9" t="n">
        <v>-164.161</v>
      </c>
      <c r="C13" s="9" t="n">
        <v>-118.361</v>
      </c>
      <c r="D13" s="8" t="inlineStr">
        <is>
          <t>FY2023: -69.275 − 49.086 + 0 = -118.361 → 仍为负</t>
        </is>
      </c>
      <c r="E13" s="8" t="inlineStr">
        <is>
          <t>CP-03/04</t>
        </is>
      </c>
    </row>
    <row r="14">
      <c r="A14" s="8" t="inlineStr">
        <is>
          <t>方法判定: UW EBITDA &lt; 0 → 主估值 EV / 2024E Revenue</t>
        </is>
      </c>
      <c r="B14" s="8" t="n"/>
      <c r="C14" s="8" t="n"/>
      <c r="D14" s="8" t="inlineStr">
        <is>
          <t>不得使用 EV/EBITDA; Adjusted EBITDA 为非 GAAP 指标</t>
        </is>
      </c>
      <c r="E14" s="8" t="inlineStr">
        <is>
          <t>CP-05</t>
        </is>
      </c>
    </row>
    <row r="15">
      <c r="A15" s="2" t="inlineStr">
        <is>
          <t>③ FCF 与流动性 (CP-13 披露项)</t>
        </is>
      </c>
    </row>
    <row r="16">
      <c r="A16" s="3" t="inlineStr">
        <is>
          <t>Free Cash Flow</t>
        </is>
      </c>
      <c r="B16" s="4" t="n">
        <v>-100.254</v>
      </c>
      <c r="C16" s="4" t="n">
        <v>-84.83799999999999</v>
      </c>
      <c r="D16" s="3" t="inlineStr">
        <is>
          <t>FCF 桥 FY2023: -52.026 + (-32.812) = -84.838 ✓ = SEC-01</t>
        </is>
      </c>
      <c r="E16" s="3" t="inlineStr">
        <is>
          <t>SEC-01 / fcf_bridge</t>
        </is>
      </c>
    </row>
    <row r="17">
      <c r="A17" s="3" t="inlineStr">
        <is>
          <t>Cash &amp; cash equivalents (年末)</t>
        </is>
      </c>
      <c r="B17" s="4" t="n">
        <v>435.81</v>
      </c>
      <c r="C17" s="4" t="n">
        <v>401.176</v>
      </c>
      <c r="D17" s="3" t="inlineStr">
        <is>
          <t>现金流量表勾稽: 435.810 − 34.634 = 401.176 ✓</t>
        </is>
      </c>
      <c r="E17" s="3" t="inlineStr">
        <is>
          <t>SEC-01</t>
        </is>
      </c>
    </row>
    <row r="18">
      <c r="A18" s="3" t="inlineStr">
        <is>
          <t>Marketable securities (年末)</t>
        </is>
      </c>
      <c r="B18" s="4" t="n">
        <v>830.734</v>
      </c>
      <c r="C18" s="4" t="n">
        <v>811.946</v>
      </c>
      <c r="D18" s="3" t="inlineStr">
        <is>
          <t>属公司可变现金融资产, 估值须与现金一并考虑 (SEC-07)</t>
        </is>
      </c>
      <c r="E18" s="3" t="inlineStr">
        <is>
          <t>SEC-01</t>
        </is>
      </c>
    </row>
    <row r="19">
      <c r="A19" s="8" t="inlineStr">
        <is>
          <t>Cash + marketable securities</t>
        </is>
      </c>
      <c r="B19" s="9" t="n">
        <v>1266.544</v>
      </c>
      <c r="C19" s="9" t="n">
        <v>1213.122</v>
      </c>
      <c r="D19" s="8" t="inlineStr">
        <is>
          <t>FY2023: 401.176 + 811.946 = 1,213.122 (净现金桥, CP-08)</t>
        </is>
      </c>
      <c r="E19" s="8" t="inlineStr">
        <is>
          <t>SEC-01 / CP-08</t>
        </is>
      </c>
    </row>
    <row r="20">
      <c r="A20" s="8" t="inlineStr">
        <is>
          <t>CP-13 风险披露</t>
        </is>
      </c>
      <c r="B20" s="8" t="n"/>
      <c r="C20" s="8" t="n"/>
      <c r="D20" s="8" t="inlineStr">
        <is>
          <t>承销口径 EBITDA (-118.361) 与 FCF (-84.838) 均为负, 已在备忘录披露</t>
        </is>
      </c>
      <c r="E20" s="8" t="inlineStr">
        <is>
          <t>CP-13</t>
        </is>
      </c>
    </row>
  </sheetData>
  <mergeCells count="3">
    <mergeCell ref="A2:E2"/>
    <mergeCell ref="A15:E15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66" customWidth="1" min="5" max="5"/>
  </cols>
  <sheetData>
    <row r="1">
      <c r="A1" s="1" t="inlineStr">
        <is>
          <t>步骤 Step</t>
        </is>
      </c>
      <c r="B1" s="1" t="inlineStr">
        <is>
          <t>Low</t>
        </is>
      </c>
      <c r="C1" s="1" t="inlineStr">
        <is>
          <t>Mid</t>
        </is>
      </c>
      <c r="D1" s="1" t="inlineStr">
        <is>
          <t>High</t>
        </is>
      </c>
      <c r="E1" s="1" t="inlineStr">
        <is>
          <t>算式 / 依据</t>
        </is>
      </c>
    </row>
    <row r="2">
      <c r="A2" s="3" t="inlineStr">
        <is>
          <t>2023A Revenue (估值基数)</t>
        </is>
      </c>
      <c r="B2" s="4" t="n">
        <v>804.029</v>
      </c>
      <c r="C2" s="4" t="n">
        <v>804.029</v>
      </c>
      <c r="D2" s="4" t="n">
        <v>804.029</v>
      </c>
      <c r="E2" s="3" t="inlineStr">
        <is>
          <t>SEC-01 (P1, 经审计); 明细勾稽修正后一致</t>
        </is>
      </c>
    </row>
    <row r="3">
      <c r="A3" s="3" t="inlineStr">
        <is>
          <t>× (1 + 2024E growth)</t>
        </is>
      </c>
      <c r="B3" s="7" t="n">
        <v>1.22</v>
      </c>
      <c r="C3" s="7" t="n">
        <v>1.22</v>
      </c>
      <c r="D3" s="7" t="n">
        <v>1.22</v>
      </c>
      <c r="E3" s="3" t="inlineStr">
        <is>
          <t>22% = 委员会内部预测假设 (CP-06), 非 SEC 公开事实</t>
        </is>
      </c>
    </row>
    <row r="4">
      <c r="A4" s="8">
        <f> 2024E Revenue (估值分母)</f>
        <v/>
      </c>
      <c r="B4" s="9" t="n">
        <v>980.91538</v>
      </c>
      <c r="C4" s="9" t="n">
        <v>980.91538</v>
      </c>
      <c r="D4" s="9" t="n">
        <v>980.91538</v>
      </c>
      <c r="E4" s="8" t="inlineStr">
        <is>
          <t>算式: 804.029 × (1 + 0.22) = 980.915</t>
        </is>
      </c>
    </row>
    <row r="5">
      <c r="A5" s="3" t="inlineStr">
        <is>
          <t>× EV/Revenue multiple (CP-07)</t>
        </is>
      </c>
      <c r="B5" s="10" t="n">
        <v>4</v>
      </c>
      <c r="C5" s="10" t="n">
        <v>4.5</v>
      </c>
      <c r="D5" s="10" t="n">
        <v>5</v>
      </c>
      <c r="E5" s="6" t="inlineStr">
        <is>
          <t>区间端点与中点取 committee peer set (CP-07); peer 等权均值 (4.0+4.3+4.5+4.8+5.0)×0.2 = 4.52x ≈ 4.5x 印证; BANK-A 4.0–5.0x 一致(仅交叉验证), BANK-B 4.2–5.1x 端点不采用</t>
        </is>
      </c>
    </row>
    <row r="6">
      <c r="A6" s="3">
        <f> Enterprise Value</f>
        <v/>
      </c>
      <c r="B6" s="4" t="n">
        <v>3923.66152</v>
      </c>
      <c r="C6" s="4" t="n">
        <v>4414.11921</v>
      </c>
      <c r="D6" s="4" t="n">
        <v>4904.5769</v>
      </c>
      <c r="E6" s="6" t="inlineStr">
        <is>
          <t>算式: 4.0×980.915=3,923.662; 4.5×980.915=4,414.119; 5.0×980.915=4,904.577</t>
        </is>
      </c>
    </row>
    <row r="7">
      <c r="A7" s="3" t="inlineStr">
        <is>
          <t>+ 年末 Cash (CP-08)</t>
        </is>
      </c>
      <c r="B7" s="4" t="n">
        <v>401.176</v>
      </c>
      <c r="C7" s="4" t="n">
        <v>401.176</v>
      </c>
      <c r="D7" s="4" t="n">
        <v>401.176</v>
      </c>
      <c r="E7" s="3" t="inlineStr">
        <is>
          <t>SEC-01: 401.176</t>
        </is>
      </c>
    </row>
    <row r="8">
      <c r="A8" s="3" t="inlineStr">
        <is>
          <t>+ 年末 Marketable securities (CP-08)</t>
        </is>
      </c>
      <c r="B8" s="4" t="n">
        <v>811.946</v>
      </c>
      <c r="C8" s="4" t="n">
        <v>811.946</v>
      </c>
      <c r="D8" s="4" t="n">
        <v>811.946</v>
      </c>
      <c r="E8" s="3" t="inlineStr">
        <is>
          <t>SEC-01: 811.946; 净现金桥须完整计入可变现金融资产 (legacy 遗漏已纠正)</t>
        </is>
      </c>
    </row>
    <row r="9">
      <c r="A9" s="3">
        <f> Pre-money Equity Value</f>
        <v/>
      </c>
      <c r="B9" s="4" t="n">
        <v>5136.78352</v>
      </c>
      <c r="C9" s="4" t="n">
        <v>5627.24121</v>
      </c>
      <c r="D9" s="4" t="n">
        <v>6117.6989</v>
      </c>
      <c r="E9" s="6" t="inlineStr">
        <is>
          <t>算式: 3,923.662+1,213.122=5,136.784; 4,414.119+1,213.122=5,627.241; 4,904.577+1,213.122=6,117.699</t>
        </is>
      </c>
    </row>
    <row r="10">
      <c r="A10" s="3" t="inlineStr">
        <is>
          <t>÷ Pre-money 经济口径股数</t>
        </is>
      </c>
      <c r="B10" s="5" t="n">
        <v>143.716563</v>
      </c>
      <c r="C10" s="5" t="n">
        <v>143.716563</v>
      </c>
      <c r="D10" s="5" t="n">
        <v>143.716563</v>
      </c>
      <c r="E10" s="3" t="inlineStr">
        <is>
          <t>143.716563 (UW-01 cap-table snapshot; 分项和=TOTAL=SEC-09)</t>
        </is>
      </c>
    </row>
    <row r="11">
      <c r="A11" s="3">
        <f> Peer-implied 每股价值 (折前)</f>
        <v/>
      </c>
      <c r="B11" s="11" t="n">
        <v>35.74246010879066</v>
      </c>
      <c r="C11" s="11" t="n">
        <v>39.15513349703471</v>
      </c>
      <c r="D11" s="11" t="n">
        <v>42.56780688527877</v>
      </c>
      <c r="E11" s="6" t="inlineStr">
        <is>
          <t>算式: 5,136.784÷143.716563=35.7425; 5,627.241÷143.716563=39.1551; 6,117.699÷143.716563=42.5678</t>
        </is>
      </c>
    </row>
    <row r="12">
      <c r="A12" s="3" t="inlineStr">
        <is>
          <t>× (1 − 12.5% 执行折扣) (CP-09)</t>
        </is>
      </c>
      <c r="B12" s="12" t="n">
        <v>0.875</v>
      </c>
      <c r="C12" s="12" t="n">
        <v>0.875</v>
      </c>
      <c r="D12" s="12" t="n">
        <v>0.875</v>
      </c>
      <c r="E12" s="3" t="inlineStr">
        <is>
          <t>统一作用于 peer-implied 每股价值 (不乘收入或 EV; 邮件第4条)</t>
        </is>
      </c>
    </row>
    <row r="13">
      <c r="A13" s="8">
        <f> 每股价值 (折后) — 委员会支持区间</f>
        <v/>
      </c>
      <c r="B13" s="13" t="n">
        <v>31.27465259519183</v>
      </c>
      <c r="C13" s="13" t="n">
        <v>34.26074180990537</v>
      </c>
      <c r="D13" s="13" t="n">
        <v>37.24683102461893</v>
      </c>
      <c r="E13" s="14" t="inlineStr">
        <is>
          <t>算式: 35.7425×0.875=31.2747; 39.1551×0.875=34.2607; 42.5678×0.875=37.2468</t>
        </is>
      </c>
    </row>
    <row r="15">
      <c r="A15" s="2" t="inlineStr">
        <is>
          <t>拟议价定位与处置</t>
        </is>
      </c>
    </row>
    <row r="16">
      <c r="A16" s="8" t="inlineStr">
        <is>
          <t>委员会支持区间 [Low, High]</t>
        </is>
      </c>
      <c r="B16" s="8" t="n"/>
      <c r="C16" s="8" t="n"/>
      <c r="D16" s="8" t="n"/>
      <c r="E16" s="8" t="inlineStr">
        <is>
          <t>[31.27, 37.25] USD/share (折后口径)</t>
        </is>
      </c>
    </row>
    <row r="17">
      <c r="A17" s="8" t="inlineStr">
        <is>
          <t>Midpoint</t>
        </is>
      </c>
      <c r="B17" s="8" t="n"/>
      <c r="C17" s="8" t="n"/>
      <c r="D17" s="8" t="n"/>
      <c r="E17" s="8" t="inlineStr">
        <is>
          <t>34.26 = Mid 4.5x 折后每股</t>
        </is>
      </c>
    </row>
    <row r="18">
      <c r="A18" s="3" t="inlineStr">
        <is>
          <t>拟议价 $34 是否在支持区间内</t>
        </is>
      </c>
      <c r="B18" s="3" t="n"/>
      <c r="C18" s="3" t="n"/>
      <c r="D18" s="3" t="n"/>
      <c r="E18" s="3" t="inlineStr">
        <is>
          <t>31.27 ≤ 34.00 ≤ 37.25 → True</t>
        </is>
      </c>
    </row>
    <row r="19">
      <c r="A19" s="3" t="inlineStr">
        <is>
          <t>距 midpoint 距离</t>
        </is>
      </c>
      <c r="B19" s="3" t="n"/>
      <c r="C19" s="3" t="n"/>
      <c r="D19" s="3" t="n"/>
      <c r="E19" s="3" t="inlineStr">
        <is>
          <t>算式: 34.00 − 34.2607 = -0.2607; |距离| 0.2607 ≤ 0.5 → True</t>
        </is>
      </c>
    </row>
    <row r="20">
      <c r="A20" s="3" t="inlineStr">
        <is>
          <t>拟议价隐含折前倍数</t>
        </is>
      </c>
      <c r="B20" s="3" t="n"/>
      <c r="C20" s="3" t="n"/>
      <c r="D20" s="3" t="n"/>
      <c r="E20" s="6" t="inlineStr">
        <is>
          <t>算式: (34.00 ÷ 0.875 × 143.716563 − 1,213.122) ÷ 980.915 = 4.4563x (低于中点 4.5x)</t>
        </is>
      </c>
    </row>
    <row r="21">
      <c r="A21" s="3" t="inlineStr">
        <is>
          <t>公开初步区间交叉参考 (SEC-03)</t>
        </is>
      </c>
      <c r="B21" s="3" t="n"/>
      <c r="C21" s="3" t="n"/>
      <c r="D21" s="3" t="n"/>
      <c r="E21" s="3" t="inlineStr">
        <is>
          <t>$31–$34; 拟议价位于公开区间上限; 仅执行参考, 不替代委员会区间</t>
        </is>
      </c>
    </row>
    <row r="22">
      <c r="A22" s="8" t="inlineStr">
        <is>
          <t>处置判定</t>
        </is>
      </c>
      <c r="B22" s="8" t="n"/>
      <c r="C22" s="8" t="n"/>
      <c r="D22" s="8" t="n"/>
      <c r="E22" s="14" t="inlineStr">
        <is>
          <t>Proceed (依据 CP-14: 区间内 + 距 midpoint ≤ $0.50 + 无未解决 hard error)</t>
        </is>
      </c>
    </row>
  </sheetData>
  <mergeCells count="1">
    <mergeCell ref="A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2024E growth \ EV/Rev</t>
        </is>
      </c>
      <c r="B1" s="1" t="inlineStr">
        <is>
          <t>4.0x</t>
        </is>
      </c>
      <c r="C1" s="1" t="inlineStr">
        <is>
          <t>4.3x</t>
        </is>
      </c>
      <c r="D1" s="1" t="inlineStr">
        <is>
          <t>4.5x</t>
        </is>
      </c>
      <c r="E1" s="1" t="inlineStr">
        <is>
          <t>4.8x</t>
        </is>
      </c>
      <c r="F1" s="1" t="inlineStr">
        <is>
          <t>5.0x</t>
        </is>
      </c>
      <c r="G1" s="1" t="inlineStr">
        <is>
          <t>说明</t>
        </is>
      </c>
    </row>
    <row r="2">
      <c r="A2" s="3" t="inlineStr">
        <is>
          <t>18%</t>
        </is>
      </c>
      <c r="B2" s="15" t="n">
        <v>30.49</v>
      </c>
      <c r="C2" s="15" t="n">
        <v>32.22</v>
      </c>
      <c r="D2" s="15" t="n">
        <v>33.38</v>
      </c>
      <c r="E2" s="15" t="n">
        <v>35.11</v>
      </c>
      <c r="F2" s="15" t="n">
        <v>36.27</v>
      </c>
      <c r="G2" s="3" t="inlineStr"/>
    </row>
    <row r="3">
      <c r="A3" s="3" t="inlineStr">
        <is>
          <t>20%</t>
        </is>
      </c>
      <c r="B3" s="15" t="n">
        <v>30.88</v>
      </c>
      <c r="C3" s="15" t="n">
        <v>32.65</v>
      </c>
      <c r="D3" s="15" t="n">
        <v>33.82</v>
      </c>
      <c r="E3" s="15" t="n">
        <v>35.58</v>
      </c>
      <c r="F3" s="15" t="n">
        <v>36.76</v>
      </c>
      <c r="G3" s="3" t="inlineStr"/>
    </row>
    <row r="4">
      <c r="A4" s="3" t="inlineStr">
        <is>
          <t>22%</t>
        </is>
      </c>
      <c r="B4" s="15" t="n">
        <v>31.27</v>
      </c>
      <c r="C4" s="15" t="n">
        <v>33.07</v>
      </c>
      <c r="D4" s="16" t="n">
        <v>34.26</v>
      </c>
      <c r="E4" s="15" t="n">
        <v>36.05</v>
      </c>
      <c r="F4" s="15" t="n">
        <v>37.25</v>
      </c>
      <c r="G4" s="3" t="inlineStr">
        <is>
          <t>← base 增长率 (CP-06: 22%)</t>
        </is>
      </c>
    </row>
    <row r="5">
      <c r="A5" s="3" t="inlineStr">
        <is>
          <t>24%</t>
        </is>
      </c>
      <c r="B5" s="15" t="n">
        <v>31.67</v>
      </c>
      <c r="C5" s="15" t="n">
        <v>33.49</v>
      </c>
      <c r="D5" s="15" t="n">
        <v>34.7</v>
      </c>
      <c r="E5" s="15" t="n">
        <v>36.52</v>
      </c>
      <c r="F5" s="15" t="n">
        <v>37.74</v>
      </c>
      <c r="G5" s="3" t="inlineStr"/>
    </row>
    <row r="6">
      <c r="A6" s="3" t="inlineStr">
        <is>
          <t>26%</t>
        </is>
      </c>
      <c r="B6" s="15" t="n">
        <v>32.06</v>
      </c>
      <c r="C6" s="15" t="n">
        <v>33.91</v>
      </c>
      <c r="D6" s="15" t="n">
        <v>35.14</v>
      </c>
      <c r="E6" s="15" t="n">
        <v>36.99</v>
      </c>
      <c r="F6" s="15" t="n">
        <v>38.23</v>
      </c>
      <c r="G6" s="3" t="inlineStr"/>
    </row>
    <row r="8">
      <c r="A8" s="2" t="inlineStr">
        <is>
          <t>口径说明</t>
        </is>
      </c>
    </row>
    <row r="9">
      <c r="A9" s="6" t="inlineStr">
        <is>
          <t>每格 = (804.029 × (1+g) × m + 1,213.122) ÷ 143.716563 × (1 − 12.5%); g=增长率轴, m=倍数轴</t>
        </is>
      </c>
    </row>
    <row r="10">
      <c r="A10" s="6" t="inlineStr">
        <is>
          <t>增长率轴 = CP-06 中值 22% ± 2pp / ± 4pp → 18%/20%/22%/24%/26%; 倍数轴 = committee peer set 五个倍数 4.0/4.3/4.5/4.8/5.0</t>
        </is>
      </c>
    </row>
    <row r="11">
      <c r="A11" s="6" t="inlineStr">
        <is>
          <t>Base case = 22% × 4.5x = 34.26 USD/share (黄底红字); 矩阵全域 30.49 ~ 38.23</t>
        </is>
      </c>
    </row>
    <row r="12">
      <c r="A12" s="3" t="inlineStr">
        <is>
          <t>拟议 $34.00 落在矩阵多数格附近: 全部 25 格中 13 格 ≥ $34.00</t>
        </is>
      </c>
    </row>
  </sheetData>
  <mergeCells count="1">
    <mergeCell ref="A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62" customWidth="1" min="4" max="4"/>
    <col width="18" customWidth="1" min="5" max="5"/>
  </cols>
  <sheetData>
    <row r="1">
      <c r="A1" s="1" t="inlineStr">
        <is>
          <t>项目</t>
        </is>
      </c>
      <c r="B1" s="1" t="inlineStr">
        <is>
          <t>Base (无 greenshoe)</t>
        </is>
      </c>
      <c r="C1" s="1" t="inlineStr">
        <is>
          <t>Full greenshoe exercise</t>
        </is>
      </c>
      <c r="D1" s="1" t="inlineStr">
        <is>
          <t>算式 / 说明</t>
        </is>
      </c>
      <c r="E1" s="1" t="inlineStr">
        <is>
          <t>依据</t>
        </is>
      </c>
    </row>
    <row r="2">
      <c r="A2" s="3" t="inlineStr">
        <is>
          <t>Primary shares (mm)</t>
        </is>
      </c>
      <c r="B2" s="5" t="n">
        <v>15.276527</v>
      </c>
      <c r="C2" s="5" t="n">
        <v>18.576527</v>
      </c>
      <c r="D2" s="6" t="inlineStr">
        <is>
          <t>Full = 15.276527 + 3.3 = 18.576527; 与 Offering_Terms Full 列一致 ✓</t>
        </is>
      </c>
      <c r="E2" s="3" t="inlineStr">
        <is>
          <t>SEC-03 / CP-10/11</t>
        </is>
      </c>
    </row>
    <row r="3">
      <c r="A3" s="3" t="inlineStr">
        <is>
          <t>Secondary shares (mm)</t>
        </is>
      </c>
      <c r="B3" s="5" t="n">
        <v>6.723473</v>
      </c>
      <c r="C3" s="5" t="n">
        <v>6.723473</v>
      </c>
      <c r="D3" s="3" t="inlineStr">
        <is>
          <t>存量转让; 不形成公司募集、不增公司总股数</t>
        </is>
      </c>
      <c r="E3" s="3" t="inlineStr">
        <is>
          <t>SEC-03 / CP-10</t>
        </is>
      </c>
    </row>
    <row r="4">
      <c r="A4" s="3" t="inlineStr">
        <is>
          <t>Greenshoe shares (mm)</t>
        </is>
      </c>
      <c r="B4" s="17" t="n">
        <v>0</v>
      </c>
      <c r="C4" s="17" t="n">
        <v>3.3</v>
      </c>
      <c r="D4" s="3" t="inlineStr">
        <is>
          <t>Base 不预设行使; full-exercise 单列情景</t>
        </is>
      </c>
      <c r="E4" s="3" t="inlineStr">
        <is>
          <t>SEC-03 / CP-11</t>
        </is>
      </c>
    </row>
    <row r="5">
      <c r="A5" s="3" t="inlineStr">
        <is>
          <t>Price (USD/share)</t>
        </is>
      </c>
      <c r="B5" s="15" t="n">
        <v>34</v>
      </c>
      <c r="C5" s="15" t="n">
        <v>34</v>
      </c>
      <c r="D5" s="3" t="inlineStr">
        <is>
          <t>拟议价 (内部工作价, 决策输入)</t>
        </is>
      </c>
      <c r="E5" s="3" t="inlineStr">
        <is>
          <t>UW-01</t>
        </is>
      </c>
    </row>
    <row r="6">
      <c r="A6" s="8" t="inlineStr">
        <is>
          <t>Company gross primary proceeds</t>
        </is>
      </c>
      <c r="B6" s="9" t="n">
        <v>519.401918</v>
      </c>
      <c r="C6" s="9" t="n">
        <v>631.601918</v>
      </c>
      <c r="D6" s="14" t="inlineStr">
        <is>
          <t>算式 Base: 15.276527 × 34.00 = 519.402; Full: 18.576527 × 34.00 = 631.602</t>
        </is>
      </c>
      <c r="E6" s="8" t="inlineStr">
        <is>
          <t>计算</t>
        </is>
      </c>
    </row>
    <row r="7">
      <c r="A7" s="3" t="inlineStr">
        <is>
          <t>承销费 (5% × primary gross)</t>
        </is>
      </c>
      <c r="B7" s="4" t="n">
        <v>-25.9700959</v>
      </c>
      <c r="C7" s="4" t="n">
        <v>-31.5800959</v>
      </c>
      <c r="D7" s="6" t="inlineStr">
        <is>
          <t>算式 Base: 519.402 × 5% = 25.970; Full: 631.602 × 5% = 31.580; 基数=公司 primary gross, 不含 secondary (v2 全股份基数已作废)</t>
        </is>
      </c>
      <c r="E7" s="3" t="inlineStr">
        <is>
          <t>CP-12 / SEC-10</t>
        </is>
      </c>
    </row>
    <row r="8">
      <c r="A8" s="3" t="inlineStr">
        <is>
          <t>固定发行费用 (一次)</t>
        </is>
      </c>
      <c r="B8" s="4" t="n">
        <v>-7</v>
      </c>
      <c r="C8" s="4" t="n">
        <v>-7</v>
      </c>
      <c r="D8" s="3" t="inlineStr">
        <is>
          <t>固定 $7.0mm; greenshoe 增量不重复计提固定费用</t>
        </is>
      </c>
      <c r="E8" s="3" t="inlineStr">
        <is>
          <t>CP-12</t>
        </is>
      </c>
    </row>
    <row r="9">
      <c r="A9" s="8">
        <f> Company net primary proceeds</f>
        <v/>
      </c>
      <c r="B9" s="9" t="n">
        <v>486.4318221</v>
      </c>
      <c r="C9" s="9" t="n">
        <v>593.0218221</v>
      </c>
      <c r="D9" s="14" t="inlineStr">
        <is>
          <t>算式 Base: 519.402 − 25.970 − 7.000 = 486.432; Full: 631.602 − 31.580 − 7.000 = 593.022</t>
        </is>
      </c>
      <c r="E9" s="8" t="inlineStr">
        <is>
          <t>计算</t>
        </is>
      </c>
    </row>
    <row r="10">
      <c r="A10" s="3" t="inlineStr">
        <is>
          <t>Greenshoe 增量: gross / fee / net</t>
        </is>
      </c>
      <c r="B10" s="3" t="n"/>
      <c r="C10" s="4" t="n">
        <v>112.2</v>
      </c>
      <c r="D10" s="6" t="inlineStr">
        <is>
          <t>增量 gross = 3.300 × 34.00 = 112.200; fee = 5.610; 增量 net = 106.590 (只扣 5% fee)</t>
        </is>
      </c>
      <c r="E10" s="3" t="inlineStr">
        <is>
          <t>CP-12 / SEC-10</t>
        </is>
      </c>
    </row>
    <row r="11">
      <c r="A11" s="3" t="inlineStr">
        <is>
          <t>勾稽: Base net + 增量 net = Full net</t>
        </is>
      </c>
      <c r="B11" s="3" t="n"/>
      <c r="C11" s="4" t="n">
        <v>593.0218221</v>
      </c>
      <c r="D11" s="6" t="inlineStr">
        <is>
          <t>486.432 + 106.590 = 593.022 = Full net 593.022 (差 +0.000000) ✓</t>
        </is>
      </c>
      <c r="E11" s="3" t="inlineStr">
        <is>
          <t>计算</t>
        </is>
      </c>
    </row>
    <row r="12">
      <c r="A12" s="3" t="inlineStr">
        <is>
          <t>Secondary gross (归出售股东)</t>
        </is>
      </c>
      <c r="B12" s="4" t="n">
        <v>228.598082</v>
      </c>
      <c r="C12" s="4" t="n">
        <v>228.598082</v>
      </c>
      <c r="D12" s="3" t="inlineStr">
        <is>
          <t>算式: 6.723473 × 34.00 = 228.598; 公司取得 = 0.000</t>
        </is>
      </c>
      <c r="E12" s="3" t="inlineStr">
        <is>
          <t>SEC-12 / SEC-06</t>
        </is>
      </c>
    </row>
    <row r="13">
      <c r="A13" s="3" t="inlineStr">
        <is>
          <t>公司自 secondary 取得募集</t>
        </is>
      </c>
      <c r="B13" s="4" t="n">
        <v>0</v>
      </c>
      <c r="C13" s="4" t="n">
        <v>0</v>
      </c>
      <c r="D13" s="6" t="inlineStr">
        <is>
          <t>Offering_Terms: 'Company receives secondary proceeds? = 0 (No)'</t>
        </is>
      </c>
      <c r="E13" s="3" t="inlineStr">
        <is>
          <t>SEC-03 / CP-10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60" customWidth="1" min="4" max="4"/>
  </cols>
  <sheetData>
    <row r="1">
      <c r="A1" s="1" t="inlineStr">
        <is>
          <t>项目</t>
        </is>
      </c>
      <c r="B1" s="1" t="inlineStr">
        <is>
          <t>Base</t>
        </is>
      </c>
      <c r="C1" s="1" t="inlineStr">
        <is>
          <t>Full exercise</t>
        </is>
      </c>
      <c r="D1" s="1" t="inlineStr">
        <is>
          <t>算式 / 说明</t>
        </is>
      </c>
    </row>
    <row r="2">
      <c r="A2" s="3" t="inlineStr">
        <is>
          <t xml:space="preserve">  Class A common stock</t>
        </is>
      </c>
      <c r="B2" s="5" t="n">
        <v>40</v>
      </c>
      <c r="C2" s="3" t="n"/>
      <c r="D2" s="3" t="inlineStr">
        <is>
          <t>Source: SEC-09 (as-of 2024-03-18)</t>
        </is>
      </c>
    </row>
    <row r="3">
      <c r="A3" s="3" t="inlineStr">
        <is>
          <t xml:space="preserve">  Class B common stock</t>
        </is>
      </c>
      <c r="B3" s="5" t="n">
        <v>70</v>
      </c>
      <c r="C3" s="3" t="n"/>
      <c r="D3" s="3" t="inlineStr">
        <is>
          <t>Source: SEC-09 (as-of 2024-03-18)</t>
        </is>
      </c>
    </row>
    <row r="4">
      <c r="A4" s="3" t="inlineStr">
        <is>
          <t xml:space="preserve">  Series A preferred (as-converted)</t>
        </is>
      </c>
      <c r="B4" s="5" t="n">
        <v>15</v>
      </c>
      <c r="C4" s="3" t="n"/>
      <c r="D4" s="3" t="inlineStr">
        <is>
          <t>Source: SEC-09 (as-of 2024-03-18)</t>
        </is>
      </c>
    </row>
    <row r="5">
      <c r="A5" s="3" t="inlineStr">
        <is>
          <t xml:space="preserve">  Series B preferred (as-converted)</t>
        </is>
      </c>
      <c r="B5" s="5" t="n">
        <v>10</v>
      </c>
      <c r="C5" s="3" t="n"/>
      <c r="D5" s="3" t="inlineStr">
        <is>
          <t>Source: SEC-09 (as-of 2024-03-18)</t>
        </is>
      </c>
    </row>
    <row r="6">
      <c r="A6" s="3" t="inlineStr">
        <is>
          <t xml:space="preserve">  RSUs vested and unsettled</t>
        </is>
      </c>
      <c r="B6" s="5" t="n">
        <v>5.716563</v>
      </c>
      <c r="C6" s="3" t="n"/>
      <c r="D6" s="3" t="inlineStr">
        <is>
          <t>Source: UW-01 (as-of 2024-03-18)</t>
        </is>
      </c>
    </row>
    <row r="7">
      <c r="A7" s="3" t="inlineStr">
        <is>
          <t xml:space="preserve">  Options in the money</t>
        </is>
      </c>
      <c r="B7" s="5" t="n">
        <v>3</v>
      </c>
      <c r="C7" s="3" t="n"/>
      <c r="D7" s="3" t="inlineStr">
        <is>
          <t>Source: UW-01 (as-of 2024-03-18)</t>
        </is>
      </c>
    </row>
    <row r="8">
      <c r="A8" s="8" t="inlineStr">
        <is>
          <t>Pre-money 经济口径股数 (分项和)</t>
        </is>
      </c>
      <c r="B8" s="18" t="n">
        <v>143.716563</v>
      </c>
      <c r="C8" s="18" t="n">
        <v>143.716563</v>
      </c>
      <c r="D8" s="14" t="inlineStr">
        <is>
          <t>算式: 40.000000+70.000000+15.000000+10.000000+5.716563+3.000000 = 143.716563 = TOTAL 行 = SEC-09 分项和 = Offering_Terms ✓</t>
        </is>
      </c>
    </row>
    <row r="9">
      <c r="A9" s="3" t="inlineStr">
        <is>
          <t>+ 新增 primary shares</t>
        </is>
      </c>
      <c r="B9" s="5" t="n">
        <v>15.276527</v>
      </c>
      <c r="C9" s="5" t="n">
        <v>18.576527</v>
      </c>
      <c r="D9" s="3" t="inlineStr">
        <is>
          <t>secondary 不计入 (存量转让, 不新增公司总股数)</t>
        </is>
      </c>
    </row>
    <row r="10">
      <c r="A10" s="8">
        <f> Post-money 公司总股数</f>
        <v/>
      </c>
      <c r="B10" s="18" t="n">
        <v>158.99309</v>
      </c>
      <c r="C10" s="18" t="n">
        <v>162.29309</v>
      </c>
      <c r="D10" s="14" t="inlineStr">
        <is>
          <t>算式 Base: 143.716563 + 15.276527 = 158.993090; Full: 143.716563 + 18.576527 = 162.293090</t>
        </is>
      </c>
    </row>
    <row r="11">
      <c r="A11" s="8" t="inlineStr">
        <is>
          <t>新增股份占 post-money 比例</t>
        </is>
      </c>
      <c r="B11" s="19" t="n">
        <v>0.09608296184444243</v>
      </c>
      <c r="C11" s="19" t="n">
        <v>0.114462833876661</v>
      </c>
      <c r="D11" s="14" t="inlineStr">
        <is>
          <t>算式 Base: 15.276527 ÷ 158.993090 = 9.6083%; Full: 18.576527 ÷ 162.293090 = 11.4463%</t>
        </is>
      </c>
    </row>
    <row r="12">
      <c r="A12" s="3" t="inlineStr">
        <is>
          <t>Memo: legacy 错误口径 (secondary 计入)</t>
        </is>
      </c>
      <c r="B12" s="5" t="n">
        <v>165.716563</v>
      </c>
      <c r="C12" s="3" t="n"/>
      <c r="D12" s="6" t="inlineStr">
        <is>
          <t>旧: 143.716563 + 15.276527 + 6.723473 = 165.716563 (高估 6.723473m, 已纠正)</t>
        </is>
      </c>
    </row>
    <row r="14">
      <c r="A14" s="2" t="inlineStr">
        <is>
          <t>稀释交叉验算 (SEC-02 独立口径) 与用途边界</t>
        </is>
      </c>
    </row>
    <row r="15">
      <c r="A15" s="3" t="inlineStr">
        <is>
          <t>假定价 (SEC-02 测算基准)</t>
        </is>
      </c>
      <c r="B15" s="15" t="n">
        <v>32.5</v>
      </c>
      <c r="C15" s="3" t="n"/>
      <c r="D15" s="3" t="inlineStr">
        <is>
          <t>USD/share; data_dictionary: NTBV/dilution 仅在假定 $32.50 下测算</t>
        </is>
      </c>
    </row>
    <row r="16">
      <c r="A16" s="3" t="inlineStr">
        <is>
          <t>Preliminary NTBV/share</t>
        </is>
      </c>
      <c r="B16" s="15" t="n">
        <v>11.17</v>
      </c>
      <c r="C16" s="3" t="n"/>
      <c r="D16" s="3" t="inlineStr">
        <is>
          <t>SEC-02 披露值</t>
        </is>
      </c>
    </row>
    <row r="17">
      <c r="A17" s="3" t="inlineStr">
        <is>
          <t>验算: 假定价 − NTBV</t>
        </is>
      </c>
      <c r="B17" s="15" t="n">
        <v>21.33</v>
      </c>
      <c r="C17" s="3" t="n"/>
      <c r="D17" s="3" t="inlineStr">
        <is>
          <t>算式: 32.50 − 11.17 = 21.33 = 披露即时稀释 21.33 → 一致 ✓</t>
        </is>
      </c>
    </row>
    <row r="18">
      <c r="A18" s="3" t="inlineStr">
        <is>
          <t>即时稀释占假定价比例</t>
        </is>
      </c>
      <c r="B18" s="20" t="n">
        <v>0.6563076923076923</v>
      </c>
      <c r="C18" s="3" t="n"/>
      <c r="D18" s="3" t="inlineStr">
        <is>
          <t>算式: 21.33 ÷ 32.50 = 65.63% → 新投资者即时稀释重大</t>
        </is>
      </c>
    </row>
    <row r="19">
      <c r="A19" s="3" t="inlineStr">
        <is>
          <t>用途边界</t>
        </is>
      </c>
      <c r="B19" s="3" t="n"/>
      <c r="C19" s="3" t="n"/>
      <c r="D19" s="6" t="inlineStr">
        <is>
          <t>仅用于交叉验算稀释披露的内部一致性与量级; 不按拟议 $34 重标定、不作为估值或定价输入; SEC-16 注册股数 141.200 (不含未结算 RSU) 与经济口径 143.716563 跨口径调节材料未载明 → 待核实</t>
        </is>
      </c>
    </row>
  </sheetData>
  <mergeCells count="1"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算式 / 依据</t>
        </is>
      </c>
    </row>
    <row r="2">
      <c r="A2" s="3" t="inlineStr">
        <is>
          <t>估值方法</t>
        </is>
      </c>
      <c r="B2" s="3" t="inlineStr">
        <is>
          <t>EV / 2024E Revenue</t>
        </is>
      </c>
      <c r="C2" s="3" t="inlineStr">
        <is>
          <t>CP-05: 承销口径 EBITDA -118.361 &lt; 0 → 不得用 EV/EBITDA</t>
        </is>
      </c>
    </row>
    <row r="3">
      <c r="A3" s="3" t="inlineStr">
        <is>
          <t>2024E Revenue (分母)</t>
        </is>
      </c>
      <c r="B3" s="3" t="inlineStr">
        <is>
          <t>980.915 USD mm</t>
        </is>
      </c>
      <c r="C3" s="3" t="inlineStr">
        <is>
          <t>804.029 × (1+22%) = 980.915 (CP-06, 内部假设)</t>
        </is>
      </c>
    </row>
    <row r="4">
      <c r="A4" s="3" t="inlineStr">
        <is>
          <t>承销口径 EBITDA FY2023</t>
        </is>
      </c>
      <c r="B4" s="3" t="inlineStr">
        <is>
          <t>-118.361 USD mm</t>
        </is>
      </c>
      <c r="C4" s="3" t="inlineStr">
        <is>
          <t>-69.275 − 49.086 + 0 = -118.361 (CP-03/04)</t>
        </is>
      </c>
    </row>
    <row r="5">
      <c r="A5" s="3" t="inlineStr">
        <is>
          <t>Free Cash Flow FY2023</t>
        </is>
      </c>
      <c r="B5" s="3" t="inlineStr">
        <is>
          <t>-84.838 USD mm</t>
        </is>
      </c>
      <c r="C5" s="3" t="inlineStr">
        <is>
          <t>−52.026 − 32.812 = −84.838 (CP-13 披露: 与 EBITDA 均为负)</t>
        </is>
      </c>
    </row>
    <row r="6">
      <c r="A6" s="3" t="inlineStr">
        <is>
          <t>净现金桥</t>
        </is>
      </c>
      <c r="B6" s="3" t="inlineStr">
        <is>
          <t>1,213.122 USD mm</t>
        </is>
      </c>
      <c r="C6" s="3" t="inlineStr">
        <is>
          <t>cash 401.176 + marketable securities 811.946 (CP-08 完整计入)</t>
        </is>
      </c>
    </row>
    <row r="7">
      <c r="A7" s="3" t="inlineStr">
        <is>
          <t>支持区间 Low / Mid / High</t>
        </is>
      </c>
      <c r="B7" s="3" t="inlineStr">
        <is>
          <t>$31.27 / $34.26 / $37.25</t>
        </is>
      </c>
      <c r="C7" s="3" t="inlineStr">
        <is>
          <t>折后每股: EV(4.0/4.5/5.0x)+净现金 ÷143.716563 ×(1−12.5%)</t>
        </is>
      </c>
    </row>
    <row r="8">
      <c r="A8" s="3" t="inlineStr">
        <is>
          <t>Midpoint</t>
        </is>
      </c>
      <c r="B8" s="3" t="inlineStr">
        <is>
          <t>$34.26</t>
        </is>
      </c>
      <c r="C8" s="3" t="inlineStr">
        <is>
          <t>Mid 4.5x 折后每股</t>
        </is>
      </c>
    </row>
    <row r="9">
      <c r="A9" s="3" t="inlineStr">
        <is>
          <t>拟议价</t>
        </is>
      </c>
      <c r="B9" s="3" t="inlineStr">
        <is>
          <t>$34.00 (内部决策输入)</t>
        </is>
      </c>
      <c r="C9" s="3" t="inlineStr">
        <is>
          <t>UW-01 Offering_Terms; 非已实现结果 (CP-01)</t>
        </is>
      </c>
    </row>
    <row r="10">
      <c r="A10" s="3" t="inlineStr">
        <is>
          <t>拟议价在支持区间内?</t>
        </is>
      </c>
      <c r="B10" s="3" t="inlineStr">
        <is>
          <t>是</t>
        </is>
      </c>
      <c r="C10" s="3" t="inlineStr">
        <is>
          <t>31.27 ≤ 34.00 ≤ 37.25</t>
        </is>
      </c>
    </row>
    <row r="11">
      <c r="A11" s="3" t="inlineStr">
        <is>
          <t>距 midpoint</t>
        </is>
      </c>
      <c r="B11" s="3" t="inlineStr">
        <is>
          <t>-0.2607 USD/share</t>
        </is>
      </c>
      <c r="C11" s="3" t="inlineStr">
        <is>
          <t>34.00 − 34.2607 = -0.2607; |dist| = 0.2607 ≤ 0.5</t>
        </is>
      </c>
    </row>
    <row r="12">
      <c r="A12" s="3" t="inlineStr">
        <is>
          <t>hard error 状态</t>
        </is>
      </c>
      <c r="B12" s="3" t="inlineStr">
        <is>
          <t>全部已解决</t>
        </is>
      </c>
      <c r="C12" s="6" t="inlineStr">
        <is>
          <t>4 项明细异常 + 1 项口径差异 + 12 类 legacy 错误均已识别并修正 (Error_Audit E01–E17)</t>
        </is>
      </c>
    </row>
    <row r="13">
      <c r="A13" s="8" t="inlineStr">
        <is>
          <t>处置建议</t>
        </is>
      </c>
      <c r="B13" s="8" t="inlineStr">
        <is>
          <t>Proceed</t>
        </is>
      </c>
      <c r="C13" s="8" t="inlineStr">
        <is>
          <t>CP-14: 区间内 + 距 midpoint ≤ $0.50 + 无未解决 hard error</t>
        </is>
      </c>
    </row>
    <row r="14">
      <c r="A14" s="3" t="inlineStr">
        <is>
          <t>Base: 公司 net primary proceeds</t>
        </is>
      </c>
      <c r="B14" s="3" t="inlineStr">
        <is>
          <t>486.432 USD mm</t>
        </is>
      </c>
      <c r="C14" s="3" t="inlineStr">
        <is>
          <t>519.402 − 25.970 − 7.000 = 486.432</t>
        </is>
      </c>
    </row>
    <row r="15">
      <c r="A15" s="3" t="inlineStr">
        <is>
          <t>Full: 公司 net primary proceeds</t>
        </is>
      </c>
      <c r="B15" s="3" t="inlineStr">
        <is>
          <t>593.022 USD mm</t>
        </is>
      </c>
      <c r="C15" s="3" t="inlineStr">
        <is>
          <t>631.602 − 31.580 − 7.000 = 593.022 (= Base + 增量 106.590)</t>
        </is>
      </c>
    </row>
    <row r="16">
      <c r="A16" s="3" t="inlineStr">
        <is>
          <t>Base post-money 股数 / 新增占比</t>
        </is>
      </c>
      <c r="B16" s="3" t="inlineStr">
        <is>
          <t>158.993090m / 9.61%</t>
        </is>
      </c>
      <c r="C16" s="3" t="inlineStr">
        <is>
          <t>143.716563 + 15.276527; secondary 不增股数</t>
        </is>
      </c>
    </row>
    <row r="17">
      <c r="A17" s="3" t="inlineStr">
        <is>
          <t>Full post-money 股数 / 新增占比</t>
        </is>
      </c>
      <c r="B17" s="3" t="inlineStr">
        <is>
          <t>162.293090m / 11.45%</t>
        </is>
      </c>
      <c r="C17" s="3" t="inlineStr">
        <is>
          <t>143.716563 + 18.576527</t>
        </is>
      </c>
    </row>
    <row r="18">
      <c r="A18" s="3" t="inlineStr">
        <is>
          <t>稀释交叉验算 (SEC-02 @ $32.50)</t>
        </is>
      </c>
      <c r="B18" s="3" t="inlineStr">
        <is>
          <t>NTBV 11.17 / 稀释 21.33</t>
        </is>
      </c>
      <c r="C18" s="3" t="inlineStr">
        <is>
          <t>32.50 − 11.17 = 21.33 ✓; 仅交叉验算, 不按 $34 重标定</t>
        </is>
      </c>
    </row>
    <row r="19">
      <c r="A19" s="3" t="inlineStr">
        <is>
          <t>敏感性全域</t>
        </is>
      </c>
      <c r="B19" s="3" t="inlineStr">
        <is>
          <t>$30.49 – $38.23</t>
        </is>
      </c>
      <c r="C19" s="3" t="inlineStr">
        <is>
          <t>18%–26% × 4.0x–5.0x 共 25 格; base = 22%×4.5x</t>
        </is>
      </c>
    </row>
    <row r="20">
      <c r="A20" s="3" t="inlineStr">
        <is>
          <t>董事会授权核对</t>
        </is>
      </c>
      <c r="B20" s="3" t="inlineStr">
        <is>
          <t>符合</t>
        </is>
      </c>
      <c r="C20" s="3" t="inlineStr">
        <is>
          <t>board_minutes 2024-03-19: 授权支持区间内定价; $34 &lt; 区间上限 37.25</t>
        </is>
      </c>
    </row>
    <row r="22">
      <c r="A22" s="2" t="inlineStr">
        <is>
          <t>QoE 与执行风险披露 (CP-13)</t>
        </is>
      </c>
    </row>
    <row r="23">
      <c r="A23" s="6" t="inlineStr">
        <is>
          <t>承销口径 EBITDA FY2023 = -118.361 (FY2022 = -164.161), FCF FY2023 = -84.838: 均为负, 公司尚未证明可持续盈利能力。</t>
        </is>
      </c>
    </row>
    <row r="24">
      <c r="A24" s="6" t="inlineStr">
        <is>
          <t>拟议价 $34.00 位于公开初步区间 $31–$34 上限, 执行容错空间有限; 委员会支持区间上限 $37.25, 董事会未授权高于支持区间上限定价。</t>
        </is>
      </c>
    </row>
    <row r="25">
      <c r="A25" s="6" t="inlineStr">
        <is>
          <t>Adjusted EBITDA 为管理层定义的非 GAAP 指标且不在审计意见覆盖范围 (SEC-13/SEC-14); 承销口径已按 CP-03 剔除 SBC 加回。</t>
        </is>
      </c>
    </row>
    <row r="26">
      <c r="A26" s="6" t="inlineStr">
        <is>
          <t>greenshoe 3.3m 未计入 Base; 若全额行使, 公司总股数增至 162.293090m (新增占比 11.45%)。</t>
        </is>
      </c>
    </row>
  </sheetData>
  <mergeCells count="1">
    <mergeCell ref="A22:C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38" customWidth="1" min="4" max="4"/>
    <col width="48" customWidth="1" min="5" max="5"/>
    <col width="48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问题类别</t>
        </is>
      </c>
      <c r="C1" s="1" t="inlineStr">
        <is>
          <t>原有处理 / 现象 (来源)</t>
        </is>
      </c>
      <c r="D1" s="1" t="inlineStr">
        <is>
          <t>问题定性</t>
        </is>
      </c>
      <c r="E1" s="1" t="inlineStr">
        <is>
          <t>正确处理</t>
        </is>
      </c>
      <c r="F1" s="1" t="inlineStr">
        <is>
          <t>影响 (量化)</t>
        </is>
      </c>
      <c r="G1" s="1" t="inlineStr">
        <is>
          <t>依据</t>
        </is>
      </c>
    </row>
    <row r="2">
      <c r="A2" s="3" t="inlineStr">
        <is>
          <t>E01</t>
        </is>
      </c>
      <c r="B2" s="3" t="inlineStr">
        <is>
          <t>QoE 口径</t>
        </is>
      </c>
      <c r="C2" s="3" t="inlineStr">
        <is>
          <t>以管理层 Adjusted EBITDA -69.275 直接作盈利质量结论</t>
        </is>
      </c>
      <c r="D2" s="3" t="inlineStr">
        <is>
          <t>SBC 加回未在承销口径剔除, 高估盈利能力</t>
        </is>
      </c>
      <c r="E2" s="3" t="inlineStr">
        <is>
          <t>UW EBITDA = -69.275 - 49.086 = -118.361 (FY2023)</t>
        </is>
      </c>
      <c r="F2" s="3" t="inlineStr">
        <is>
          <t>盈利被高估 49.086 (FY2023); FY2022: -108.393-55.768=-164.161</t>
        </is>
      </c>
      <c r="G2" s="3" t="inlineStr">
        <is>
          <t>CP-03 / SEC-13 / 邮件第5条</t>
        </is>
      </c>
    </row>
    <row r="3">
      <c r="A3" s="3" t="inlineStr">
        <is>
          <t>E02</t>
        </is>
      </c>
      <c r="B3" s="3" t="inlineStr">
        <is>
          <t>估值分母</t>
        </is>
      </c>
      <c r="C3" s="3" t="inlineStr">
        <is>
          <t>4.5x 直接乘 2023A 收入 (legacy: 2023A revenue)</t>
        </is>
      </c>
      <c r="D3" s="3" t="inlineStr">
        <is>
          <t>分母应为 2024E 而非历史年</t>
        </is>
      </c>
      <c r="E3" s="3" t="inlineStr">
        <is>
          <t>2024E Revenue = 804.029 × (1+22%) = 980.915</t>
        </is>
      </c>
      <c r="F3" s="3" t="inlineStr">
        <is>
          <t>EV 分母少计 176.886; 中点 EV 少计 795.989</t>
        </is>
      </c>
      <c r="G3" s="3" t="inlineStr">
        <is>
          <t>CP-06</t>
        </is>
      </c>
    </row>
    <row r="4">
      <c r="A4" s="3" t="inlineStr">
        <is>
          <t>E03</t>
        </is>
      </c>
      <c r="B4" s="3" t="inlineStr">
        <is>
          <t>净现金桥</t>
        </is>
      </c>
      <c r="C4" s="3" t="inlineStr">
        <is>
          <t>仅计现金, 遗漏有价证券</t>
        </is>
      </c>
      <c r="D4" s="3" t="inlineStr">
        <is>
          <t>CP-08 要求 cash + marketable securities 全额入桥</t>
        </is>
      </c>
      <c r="E4" s="3" t="inlineStr">
        <is>
          <t>桥 = 401.176 + 811.946 = 1213.122</t>
        </is>
      </c>
      <c r="F4" s="3" t="inlineStr">
        <is>
          <t>pre-money equity 少计 811.946; 每股少计 4.943 (折后)</t>
        </is>
      </c>
      <c r="G4" s="3" t="inlineStr">
        <is>
          <t>CP-08 / SEC-07 (有价证券属可变现金融资产)</t>
        </is>
      </c>
    </row>
    <row r="5">
      <c r="A5" s="3" t="inlineStr">
        <is>
          <t>E04</t>
        </is>
      </c>
      <c r="B5" s="3" t="inlineStr">
        <is>
          <t>发行结构</t>
        </is>
      </c>
      <c r="C5" s="3" t="inlineStr">
        <is>
          <t>全部 22.000m base 股份视为 primary</t>
        </is>
      </c>
      <c r="D5" s="3" t="inlineStr">
        <is>
          <t>secondary 不形成公司募集资金</t>
        </is>
      </c>
      <c r="E5" s="3" t="inlineStr">
        <is>
          <t>primary 15.276527m; secondary 6.723473m (CP-10/SEC-03)</t>
        </is>
      </c>
      <c r="F5" s="3" t="inlineStr">
        <is>
          <t>公司 gross proceeds 高估 228.598 (748.000 vs 519.402)</t>
        </is>
      </c>
      <c r="G5" s="3" t="inlineStr">
        <is>
          <t>CP-10 / SEC-03 / SEC-12</t>
        </is>
      </c>
    </row>
    <row r="6">
      <c r="A6" s="3" t="inlineStr">
        <is>
          <t>E05</t>
        </is>
      </c>
      <c r="B6" s="3" t="inlineStr">
        <is>
          <t>Greenshoe</t>
        </is>
      </c>
      <c r="C6" s="3" t="inlineStr">
        <is>
          <t>greenshoe 3.3m 预设计入 Base (legacy: greenshoe_in_base=1)</t>
        </is>
      </c>
      <c r="D6" s="3" t="inlineStr">
        <is>
          <t>greenshoe 为承销商选择权, Base 不得预设行使</t>
        </is>
      </c>
      <c r="E6" s="3" t="inlineStr">
        <is>
          <t>Base 排除; 另列 full-exercise 情景</t>
        </is>
      </c>
      <c r="F6" s="3" t="inlineStr">
        <is>
          <t>Base 股数高估 3.3m; Base 后总股数 158.993090 vs 旧 169.016563</t>
        </is>
      </c>
      <c r="G6" s="3" t="inlineStr">
        <is>
          <t>CP-11 / SEC-10</t>
        </is>
      </c>
    </row>
    <row r="7">
      <c r="A7" s="3" t="inlineStr">
        <is>
          <t>E06</t>
        </is>
      </c>
      <c r="B7" s="3" t="inlineStr">
        <is>
          <t>费用基数</t>
        </is>
      </c>
      <c r="C7" s="3" t="inlineStr">
        <is>
          <t>承销费按 primary+secondary 全部股份计提</t>
        </is>
      </c>
      <c r="D7" s="3" t="inlineStr">
        <is>
          <t>费用基数应为公司 primary gross proceeds</t>
        </is>
      </c>
      <c r="E7" s="3" t="inlineStr">
        <is>
          <t>fee = 5% × 519.402 = 25.970</t>
        </is>
      </c>
      <c r="F7" s="3" t="inlineStr">
        <is>
          <t>费用高估 11.430 (旧 37.400 vs 正确 25.970)</t>
        </is>
      </c>
      <c r="G7" s="3" t="inlineStr">
        <is>
          <t>CP-12 / SEC-10 / v2 条款已作废</t>
        </is>
      </c>
    </row>
    <row r="8">
      <c r="A8" s="3" t="inlineStr">
        <is>
          <t>E07</t>
        </is>
      </c>
      <c r="B8" s="3" t="inlineStr">
        <is>
          <t>股本桥</t>
        </is>
      </c>
      <c r="C8" s="3" t="inlineStr">
        <is>
          <t>secondary 计入发行后总股数</t>
        </is>
      </c>
      <c r="D8" s="3" t="inlineStr">
        <is>
          <t>secondary 为存量股份转让, 不新增公司总股数</t>
        </is>
      </c>
      <c r="E8" s="3" t="inlineStr">
        <is>
          <t>post-money(Base) = 143.716563 + 15.276527 = 158.993090</t>
        </is>
      </c>
      <c r="F8" s="3" t="inlineStr">
        <is>
          <t>总股数高估 6.723473m (旧 165.716563)</t>
        </is>
      </c>
      <c r="G8" s="3" t="inlineStr">
        <is>
          <t>CP-10 / SEC-06</t>
        </is>
      </c>
    </row>
    <row r="9">
      <c r="A9" s="3" t="inlineStr">
        <is>
          <t>E08</t>
        </is>
      </c>
      <c r="B9" s="3" t="inlineStr">
        <is>
          <t>募集归属</t>
        </is>
      </c>
      <c r="C9" s="3" t="inlineStr">
        <is>
          <t>secondary 所得计入公司现金</t>
        </is>
      </c>
      <c r="D9" s="3" t="inlineStr">
        <is>
          <t>secondary 款项归出售股东</t>
        </is>
      </c>
      <c r="E9" s="3" t="inlineStr">
        <is>
          <t>公司募集 = primary net 仅</t>
        </is>
      </c>
      <c r="F9" s="3" t="inlineStr">
        <is>
          <t>公司现金高估 228.598</t>
        </is>
      </c>
      <c r="G9" s="3" t="inlineStr">
        <is>
          <t>SEC-12 / SEC-06 / CP-10</t>
        </is>
      </c>
    </row>
    <row r="10">
      <c r="A10" s="3" t="inlineStr">
        <is>
          <t>E09</t>
        </is>
      </c>
      <c r="B10" s="3" t="inlineStr">
        <is>
          <t>稀释口径</t>
        </is>
      </c>
      <c r="C10" s="3" t="inlineStr">
        <is>
          <t>post-money equity / pre-money shares (分子分母口径不一致)</t>
        </is>
      </c>
      <c r="D10" s="3" t="inlineStr">
        <is>
          <t>稀释交叉验算须用一致口径; SEC-02 独立口径仅在假定价下使用</t>
        </is>
      </c>
      <c r="E10" s="3" t="inlineStr">
        <is>
          <t>SEC-02: 32.5 - NTBV 11.17 = 21.33 (假定价 $32.5, 内部一致 ✓)</t>
        </is>
      </c>
      <c r="F10" s="3" t="inlineStr">
        <is>
          <t>旧法稀释率失真; 正确口径: SEC-02 仅作交叉验算, 不按 $34 重标定</t>
        </is>
      </c>
      <c r="G10" s="3" t="inlineStr">
        <is>
          <t>SEC-02 / data_dictionary (NTBV 仅在假定 $32.50 下测算)</t>
        </is>
      </c>
    </row>
    <row r="11">
      <c r="A11" s="3" t="inlineStr">
        <is>
          <t>E10</t>
        </is>
      </c>
      <c r="B11" s="3" t="inlineStr">
        <is>
          <t>定价建议</t>
        </is>
      </c>
      <c r="C11" s="3" t="inlineStr">
        <is>
          <t>主要依据 peer high case 上调至 $34 以上</t>
        </is>
      </c>
      <c r="D11" s="3" t="inlineStr">
        <is>
          <t>未按委员会处置规则 (区间/midpoint/阈值) 判断</t>
        </is>
      </c>
      <c r="E11" s="6" t="inlineStr">
        <is>
          <t>$34 在 [31.27,37.25] 内, 距 midpoint 34.26 为 0.26 ≤ 0.5 → Proceed</t>
        </is>
      </c>
      <c r="F11" s="3" t="inlineStr">
        <is>
          <t>旧建议越出董事会授权 (不得高于支持区间上限定价的风险)</t>
        </is>
      </c>
      <c r="G11" s="3" t="inlineStr">
        <is>
          <t>CP-14 / CP-15 / board_minutes 2024-03-19</t>
        </is>
      </c>
    </row>
    <row r="12">
      <c r="A12" s="3" t="inlineStr">
        <is>
          <t>E11</t>
        </is>
      </c>
      <c r="B12" s="3" t="inlineStr">
        <is>
          <t>执行折扣</t>
        </is>
      </c>
      <c r="C12" s="3" t="inlineStr">
        <is>
          <t>未应用折扣 (legacy: discount_applied=0.0)</t>
        </is>
      </c>
      <c r="D12" s="3" t="inlineStr">
        <is>
          <t>CP-09 要求对 peer-implied 每股价值统一应用执行折扣</t>
        </is>
      </c>
      <c r="E12" s="3" t="inlineStr">
        <is>
          <t>每股 × (1 - 12.5%); 中点 39.1551 → 34.2607</t>
        </is>
      </c>
      <c r="F12" s="3" t="inlineStr">
        <is>
          <t>每股价值高估 4.8944 (中点)</t>
        </is>
      </c>
      <c r="G12" s="3" t="inlineStr">
        <is>
          <t>CP-09 / v2 10% 条款已作废</t>
        </is>
      </c>
    </row>
    <row r="13">
      <c r="A13" s="3" t="inlineStr">
        <is>
          <t>E12</t>
        </is>
      </c>
      <c r="B13" s="3" t="inlineStr">
        <is>
          <t>模型完整性</t>
        </is>
      </c>
      <c r="C13" s="6" t="inlineStr">
        <is>
          <t>存在未解析引用错误单元格: Valuation!C7=#REF!; QoE!D9=#REF!; Offering!C12=#REF!</t>
        </is>
      </c>
      <c r="D13" s="3" t="inlineStr">
        <is>
          <t>联动公式失效, 旧底稿计算结果不可沿用</t>
        </is>
      </c>
      <c r="E13" s="3" t="inlineStr">
        <is>
          <t>全部结果自 input_files 源数据重建 (本模型/脚本)</t>
        </is>
      </c>
      <c r="F13" s="3" t="inlineStr">
        <is>
          <t>旧底稿数值整体不可信, 逐项重算</t>
        </is>
      </c>
      <c r="G13" s="3" t="inlineStr">
        <is>
          <t>legacy/Candidate_Model_readme.md</t>
        </is>
      </c>
    </row>
    <row r="14">
      <c r="A14" s="3" t="inlineStr">
        <is>
          <t>E13</t>
        </is>
      </c>
      <c r="B14" s="3" t="inlineStr">
        <is>
          <t>数据核验异常</t>
        </is>
      </c>
      <c r="C14" s="6" t="inlineStr">
        <is>
          <t>financials/monthly_revenue_2022_2023.csv: 月度收入 FY2022 (原始含异常行) 原始加总 723.801</t>
        </is>
      </c>
      <c r="D14" s="3" t="inlineStr">
        <is>
          <t>重复行; 与年度数差 +57.100</t>
        </is>
      </c>
      <c r="E14" s="3" t="inlineStr">
        <is>
          <t>2022-08: 重复行(值 57.100, 来源 SEC-01)→去重保留1行; 修正后=666.701 勾稽一致</t>
        </is>
      </c>
      <c r="F14" s="3" t="inlineStr">
        <is>
          <t>修正后 666.701 vs 目标 666.701 → 勾稽一致</t>
        </is>
      </c>
      <c r="G14" s="3" t="inlineStr">
        <is>
          <t>CP-02 来源优先级 / SEC-01(P1) / 委员会邮件</t>
        </is>
      </c>
    </row>
    <row r="15">
      <c r="A15" s="3" t="inlineStr">
        <is>
          <t>E14</t>
        </is>
      </c>
      <c r="B15" s="3" t="inlineStr">
        <is>
          <t>数据核验异常</t>
        </is>
      </c>
      <c r="C15" s="6" t="inlineStr">
        <is>
          <t>financials/monthly_revenue_2022_2023.csv: 月度收入 FY2023 (原始含异常行) 原始加总 870.529</t>
        </is>
      </c>
      <c r="D15" s="3" t="inlineStr">
        <is>
          <t>低优先级来源冲突(preliminary 残留); 与年度数差 +66.500</t>
        </is>
      </c>
      <c r="E15" s="6" t="inlineStr">
        <is>
          <t>2023-12: 来源冲突 INT-01(P9) 66.500 vs 采用 SEC-01(P1) 68.979 → 排除低优先级行; 修正后=804.029 勾稽一致</t>
        </is>
      </c>
      <c r="F15" s="3" t="inlineStr">
        <is>
          <t>修正后 804.029 vs 目标 804.029 → 勾稽一致</t>
        </is>
      </c>
      <c r="G15" s="3" t="inlineStr">
        <is>
          <t>CP-02 来源优先级 / SEC-01(P1) / 委员会邮件</t>
        </is>
      </c>
    </row>
    <row r="16">
      <c r="A16" s="3" t="inlineStr">
        <is>
          <t>E15</t>
        </is>
      </c>
      <c r="B16" s="3" t="inlineStr">
        <is>
          <t>数据核验异常</t>
        </is>
      </c>
      <c r="C16" s="6" t="inlineStr">
        <is>
          <t>financials/revenue_by_segment_2022_2023.csv: 分部收入 FY2023 原始加总 941.252</t>
        </is>
      </c>
      <c r="D16" s="3" t="inlineStr">
        <is>
          <t>小数点移位(10x); 与年度数差 +137.223</t>
        </is>
      </c>
      <c r="E16" s="6" t="inlineStr">
        <is>
          <t>Other 行 152.470 vs SEC-01 15.247 (比值 10 → 小数点移位/十倍错); 按 SEC-01(P1) 取 15.247; 修正后=804.029 勾稽一致</t>
        </is>
      </c>
      <c r="F16" s="3" t="inlineStr">
        <is>
          <t>修正后 804.029 vs 目标 804.029 → 勾稽一致</t>
        </is>
      </c>
      <c r="G16" s="3" t="inlineStr">
        <is>
          <t>CP-02 来源优先级 / SEC-01(P1) / 委员会邮件</t>
        </is>
      </c>
    </row>
    <row r="17">
      <c r="A17" s="3" t="inlineStr">
        <is>
          <t>E16</t>
        </is>
      </c>
      <c r="B17" s="3" t="inlineStr">
        <is>
          <t>数据核验异常</t>
        </is>
      </c>
      <c r="C17" s="6" t="inlineStr">
        <is>
          <t>financials/sbc_detail_2022_2023.csv: SBC 明细合计 FY2023 原始加总 49.680</t>
        </is>
      </c>
      <c r="D17" s="3" t="inlineStr">
        <is>
          <t>TOTAL 行计算错误; 与年度数差 +0.594</t>
        </is>
      </c>
      <c r="E17" s="6" t="inlineStr">
        <is>
          <t>TOTAL 行 49.680 ≠ 分项和 49.086 (差 +0.594); 分项和与 SEC-01 49.086 一致 → 弃用 TOTAL 行, 采用分项和/SEC-01(P1)</t>
        </is>
      </c>
      <c r="F17" s="3" t="inlineStr">
        <is>
          <t>修正后 49.086 vs 目标 49.086 → 勾稽一致</t>
        </is>
      </c>
      <c r="G17" s="3" t="inlineStr">
        <is>
          <t>CP-02 来源优先级 / SEC-01(P1) / 委员会邮件</t>
        </is>
      </c>
    </row>
    <row r="18">
      <c r="A18" s="3" t="inlineStr">
        <is>
          <t>E17</t>
        </is>
      </c>
      <c r="B18" s="3" t="inlineStr">
        <is>
          <t>数据核验异常</t>
        </is>
      </c>
      <c r="C18" s="6" t="inlineStr">
        <is>
          <t>sec_filings/SEC-16_share_count_history.csv: SEC-16 注册股数 vs 经济口径快照 (2024-03-18) 原始加总 141.200</t>
        </is>
      </c>
      <c r="D18" s="3" t="inlineStr">
        <is>
          <t>口径差异(非异常); 与年度数差 -2.517</t>
        </is>
      </c>
      <c r="E18" s="6" t="inlineStr">
        <is>
          <t>注册股数 141.200 不含未结算 RSU; 与经济口径 143.716563 的跨口径调节材料未载明 → 待核实; 估值采用委员会经济口径快照(UW-01, CP-08/Offering_Terms)</t>
        </is>
      </c>
      <c r="F18" s="3" t="inlineStr">
        <is>
          <t>修正后 141.200 vs 目标 143.717 → 按规则处置</t>
        </is>
      </c>
      <c r="G18" s="3" t="inlineStr">
        <is>
          <t>CP-02 来源优先级 / SEC-01(P1) / 委员会邮件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40" customWidth="1" min="4" max="4"/>
    <col width="9" customWidth="1" min="5" max="5"/>
    <col width="46" customWidth="1" min="6" max="6"/>
    <col width="60" customWidth="1" min="7" max="7"/>
  </cols>
  <sheetData>
    <row r="1">
      <c r="A1" s="1" t="inlineStr">
        <is>
          <t>关键指标</t>
        </is>
      </c>
      <c r="B1" s="1" t="inlineStr">
        <is>
          <t>采用值</t>
        </is>
      </c>
      <c r="C1" s="1" t="inlineStr">
        <is>
          <t>单位</t>
        </is>
      </c>
      <c r="D1" s="1" t="inlineStr">
        <is>
          <t>采用来源</t>
        </is>
      </c>
      <c r="E1" s="1" t="inlineStr">
        <is>
          <t>Priority</t>
        </is>
      </c>
      <c r="F1" s="1" t="inlineStr">
        <is>
          <t>竞争值 (来源)</t>
        </is>
      </c>
      <c r="G1" s="1" t="inlineStr">
        <is>
          <t>处置结论与理由</t>
        </is>
      </c>
    </row>
    <row r="2">
      <c r="A2" s="3" t="inlineStr">
        <is>
          <t>FY2023 Revenue</t>
        </is>
      </c>
      <c r="B2" s="3" t="inlineStr">
        <is>
          <t>804.029</t>
        </is>
      </c>
      <c r="C2" s="3" t="inlineStr">
        <is>
          <t>USD mm</t>
        </is>
      </c>
      <c r="D2" s="3" t="inlineStr">
        <is>
          <t>SEC-01 (sec_filings/SEC-01_financials_extract.xlsx)</t>
        </is>
      </c>
      <c r="E2" s="3" t="n">
        <v>1</v>
      </c>
      <c r="F2" s="3" t="inlineStr">
        <is>
          <t>INT-01 flash 806.2; IR 草稿 806.2; 月度明细原始加总 870.529</t>
        </is>
      </c>
      <c r="G2" s="6" t="inlineStr">
        <is>
          <t>SEC-01 为经审计注册说明书摘录(P1); INT-01 为未审 IR 初稿(P9)且邮件明令不得入结论; 明细异常行已剔除</t>
        </is>
      </c>
    </row>
    <row r="3">
      <c r="A3" s="3" t="inlineStr">
        <is>
          <t>FY2022 Revenue</t>
        </is>
      </c>
      <c r="B3" s="3" t="inlineStr">
        <is>
          <t>666.701</t>
        </is>
      </c>
      <c r="C3" s="3" t="inlineStr">
        <is>
          <t>USD mm</t>
        </is>
      </c>
      <c r="D3" s="3" t="inlineStr">
        <is>
          <t>SEC-01</t>
        </is>
      </c>
      <c r="E3" s="3" t="n">
        <v>1</v>
      </c>
      <c r="F3" s="3" t="inlineStr">
        <is>
          <t>月度明细原始加总 723.801 (含重复行)</t>
        </is>
      </c>
      <c r="G3" s="3" t="inlineStr">
        <is>
          <t>重复行去重后勾稽一致; 以 SEC-01 为准</t>
        </is>
      </c>
    </row>
    <row r="4">
      <c r="A4" s="3" t="inlineStr">
        <is>
          <t>FY2023 Net income (loss)</t>
        </is>
      </c>
      <c r="B4" s="3" t="inlineStr">
        <is>
          <t>-90.824</t>
        </is>
      </c>
      <c r="C4" s="3" t="inlineStr">
        <is>
          <t>USD mm</t>
        </is>
      </c>
      <c r="D4" s="3" t="inlineStr">
        <is>
          <t>SEC-01</t>
        </is>
      </c>
      <c r="E4" s="3" t="n">
        <v>1</v>
      </c>
      <c r="F4" s="3" t="inlineStr">
        <is>
          <t>无</t>
        </is>
      </c>
      <c r="G4" s="3" t="inlineStr">
        <is>
          <t>唯一权威来源; 利润表内部勾稽一致</t>
        </is>
      </c>
    </row>
    <row r="5">
      <c r="A5" s="3" t="inlineStr">
        <is>
          <t>FY2023 Management Adj. EBITDA</t>
        </is>
      </c>
      <c r="B5" s="3" t="inlineStr">
        <is>
          <t>-69.275</t>
        </is>
      </c>
      <c r="C5" s="3" t="inlineStr">
        <is>
          <t>USD mm</t>
        </is>
      </c>
      <c r="D5" s="3" t="inlineStr">
        <is>
          <t>SEC-01 (非 GAAP, 管理层口径)</t>
        </is>
      </c>
      <c r="E5" s="3" t="n">
        <v>1</v>
      </c>
      <c r="F5" s="3" t="inlineStr">
        <is>
          <t>INT-01 flash -66.1</t>
        </is>
      </c>
      <c r="G5" s="3" t="inlineStr">
        <is>
          <t>非 GAAP 指标以 SEC-01 披露为准; flash 为 P9 未审初稿, 弃用</t>
        </is>
      </c>
    </row>
    <row r="6">
      <c r="A6" s="3" t="inlineStr">
        <is>
          <t>FY2023 SBC &amp; related taxes</t>
        </is>
      </c>
      <c r="B6" s="3" t="inlineStr">
        <is>
          <t>49.086</t>
        </is>
      </c>
      <c r="C6" s="3" t="inlineStr">
        <is>
          <t>USD mm</t>
        </is>
      </c>
      <c r="D6" s="3" t="inlineStr">
        <is>
          <t>SEC-01 + sbc_detail 分项和</t>
        </is>
      </c>
      <c r="E6" s="3" t="n">
        <v>1</v>
      </c>
      <c r="F6" s="3" t="inlineStr">
        <is>
          <t>sbc_detail TOTAL 行 49.680; INT-01 flash 47.300</t>
        </is>
      </c>
      <c r="G6" s="3" t="inlineStr">
        <is>
          <t>分项和 49.086 与 SEC-01 一致; TOTAL 行为计算错误弃用; flash P9 弃用</t>
        </is>
      </c>
    </row>
    <row r="7">
      <c r="A7" s="3" t="inlineStr">
        <is>
          <t>FY2023 Restructuring</t>
        </is>
      </c>
      <c r="B7" s="3" t="inlineStr">
        <is>
          <t>8.098</t>
        </is>
      </c>
      <c r="C7" s="3" t="inlineStr">
        <is>
          <t>USD mm</t>
        </is>
      </c>
      <c r="D7" s="3" t="inlineStr">
        <is>
          <t>SEC-01 + restructuring_detail 分项和</t>
        </is>
      </c>
      <c r="E7" s="3" t="n">
        <v>1</v>
      </c>
      <c r="F7" s="3" t="inlineStr">
        <is>
          <t>无</t>
        </is>
      </c>
      <c r="G7" s="3" t="inlineStr">
        <is>
          <t>分项=TOTAL=SEC-01, 三向一致</t>
        </is>
      </c>
    </row>
    <row r="8">
      <c r="A8" s="3" t="inlineStr">
        <is>
          <t>FY2023 Free Cash Flow</t>
        </is>
      </c>
      <c r="B8" s="3" t="inlineStr">
        <is>
          <t>-84.838</t>
        </is>
      </c>
      <c r="C8" s="3" t="inlineStr">
        <is>
          <t>USD mm</t>
        </is>
      </c>
      <c r="D8" s="3" t="inlineStr">
        <is>
          <t>SEC-01 + fcf_bridge</t>
        </is>
      </c>
      <c r="E8" s="3" t="n">
        <v>1</v>
      </c>
      <c r="F8" s="3" t="inlineStr">
        <is>
          <t>INT-01 flash -82.4</t>
        </is>
      </c>
      <c r="G8" s="3" t="inlineStr">
        <is>
          <t>OCF+capex 勾稽一致; flash P9 弃用</t>
        </is>
      </c>
    </row>
    <row r="9">
      <c r="A9" s="3" t="inlineStr">
        <is>
          <t>YE2023 Cash &amp; equivalents</t>
        </is>
      </c>
      <c r="B9" s="3" t="inlineStr">
        <is>
          <t>401.176</t>
        </is>
      </c>
      <c r="C9" s="3" t="inlineStr">
        <is>
          <t>USD mm</t>
        </is>
      </c>
      <c r="D9" s="3" t="inlineStr">
        <is>
          <t>SEC-01 / balance_sheet / cash_flow 期末</t>
        </is>
      </c>
      <c r="E9" s="3" t="n">
        <v>1</v>
      </c>
      <c r="F9" s="3" t="inlineStr">
        <is>
          <t>无</t>
        </is>
      </c>
      <c r="G9" s="3" t="inlineStr">
        <is>
          <t>三表一致</t>
        </is>
      </c>
    </row>
    <row r="10">
      <c r="A10" s="3" t="inlineStr">
        <is>
          <t>YE2023 Marketable securities</t>
        </is>
      </c>
      <c r="B10" s="3" t="inlineStr">
        <is>
          <t>811.946</t>
        </is>
      </c>
      <c r="C10" s="3" t="inlineStr">
        <is>
          <t>USD mm</t>
        </is>
      </c>
      <c r="D10" s="3" t="inlineStr">
        <is>
          <t>SEC-01 / balance_sheet</t>
        </is>
      </c>
      <c r="E10" s="3" t="n">
        <v>1</v>
      </c>
      <c r="F10" s="3" t="inlineStr">
        <is>
          <t>legacy 模型未计入</t>
        </is>
      </c>
      <c r="G10" s="3" t="inlineStr">
        <is>
          <t>CP-08 要求全额入净现金桥; legacy 遗漏已纠正</t>
        </is>
      </c>
    </row>
    <row r="11">
      <c r="A11" s="3" t="inlineStr">
        <is>
          <t>2023-12 月度收入</t>
        </is>
      </c>
      <c r="B11" s="3" t="inlineStr">
        <is>
          <t>68.979</t>
        </is>
      </c>
      <c r="C11" s="3" t="inlineStr">
        <is>
          <t>USD mm</t>
        </is>
      </c>
      <c r="D11" s="3" t="inlineStr">
        <is>
          <t>SEC-01 (monthly_revenue 行 Source_ID=SEC-01)</t>
        </is>
      </c>
      <c r="E11" s="3" t="n">
        <v>1</v>
      </c>
      <c r="F11" s="3" t="inlineStr">
        <is>
          <t>INT-01 行 66.500 (preliminary 残留)</t>
        </is>
      </c>
      <c r="G11" s="6" t="inlineStr">
        <is>
          <t>CP-02 优先级 + Deal Captain 邮件: 12 月 preliminary 残留弃用, 采用 S-1/A 审计版</t>
        </is>
      </c>
    </row>
    <row r="12">
      <c r="A12" s="3" t="inlineStr">
        <is>
          <t>Primary shares (base)</t>
        </is>
      </c>
      <c r="B12" s="3" t="inlineStr">
        <is>
          <t>15.276527</t>
        </is>
      </c>
      <c r="C12" s="3" t="inlineStr">
        <is>
          <t>mm shares</t>
        </is>
      </c>
      <c r="D12" s="3" t="inlineStr">
        <is>
          <t>SEC-03 / Offering_Terms / CP-10</t>
        </is>
      </c>
      <c r="E12" s="3" t="n">
        <v>1</v>
      </c>
      <c r="F12" s="3" t="inlineStr">
        <is>
          <t>legacy 将 22.0m 全部视为 primary</t>
        </is>
      </c>
      <c r="G12" s="3" t="inlineStr">
        <is>
          <t>SEC-03(P1) 与委员会政策一致; legacy 口径错误已纠正</t>
        </is>
      </c>
    </row>
    <row r="13">
      <c r="A13" s="3" t="inlineStr">
        <is>
          <t>Secondary shares (base)</t>
        </is>
      </c>
      <c r="B13" s="3" t="inlineStr">
        <is>
          <t>6.723473</t>
        </is>
      </c>
      <c r="C13" s="3" t="inlineStr">
        <is>
          <t>mm shares</t>
        </is>
      </c>
      <c r="D13" s="3" t="inlineStr">
        <is>
          <t>SEC-03 / Offering_Terms / CP-10</t>
        </is>
      </c>
      <c r="E13" s="3" t="n">
        <v>1</v>
      </c>
      <c r="F13" s="3" t="inlineStr">
        <is>
          <t>legacy 计入公司股数与募集</t>
        </is>
      </c>
      <c r="G13" s="3" t="inlineStr">
        <is>
          <t>secondary 不形成公司募集、不增公司总股数</t>
        </is>
      </c>
    </row>
    <row r="14">
      <c r="A14" s="3" t="inlineStr">
        <is>
          <t>Greenshoe</t>
        </is>
      </c>
      <c r="B14" s="3" t="inlineStr">
        <is>
          <t>3.3</t>
        </is>
      </c>
      <c r="C14" s="3" t="inlineStr">
        <is>
          <t>mm shares</t>
        </is>
      </c>
      <c r="D14" s="3" t="inlineStr">
        <is>
          <t>SEC-03 / CP-11</t>
        </is>
      </c>
      <c r="E14" s="3" t="n">
        <v>1</v>
      </c>
      <c r="F14" s="3" t="inlineStr">
        <is>
          <t>legacy 预设入 Base</t>
        </is>
      </c>
      <c r="G14" s="3" t="inlineStr">
        <is>
          <t>Base 排除, full-exercise 单列</t>
        </is>
      </c>
    </row>
    <row r="15">
      <c r="A15" s="3" t="inlineStr">
        <is>
          <t>Public preliminary range</t>
        </is>
      </c>
      <c r="B15" s="3" t="inlineStr">
        <is>
          <t>31.0-34.0</t>
        </is>
      </c>
      <c r="C15" s="3" t="inlineStr">
        <is>
          <t>USD/share</t>
        </is>
      </c>
      <c r="D15" s="3" t="inlineStr">
        <is>
          <t>SEC-03</t>
        </is>
      </c>
      <c r="E15" s="3" t="n">
        <v>1</v>
      </c>
      <c r="F15" s="3" t="inlineStr">
        <is>
          <t>无</t>
        </is>
      </c>
      <c r="G15" s="3" t="inlineStr">
        <is>
          <t>仅作执行交叉参考, 不等于委员会支持区间</t>
        </is>
      </c>
    </row>
    <row r="16">
      <c r="A16" s="3" t="inlineStr">
        <is>
          <t>Pre-money 经济口径股数</t>
        </is>
      </c>
      <c r="B16" s="3" t="inlineStr">
        <is>
          <t>143.716563</t>
        </is>
      </c>
      <c r="C16" s="3" t="inlineStr">
        <is>
          <t>mm shares</t>
        </is>
      </c>
      <c r="D16" s="3" t="inlineStr">
        <is>
          <t>UW-01 cap_table_snapshot (=SEC-09 分项和)</t>
        </is>
      </c>
      <c r="E16" s="3" t="n">
        <v>1</v>
      </c>
      <c r="F16" s="6" t="inlineStr">
        <is>
          <t>SEC-16 注册股数 141.200 (不含未结算 RSU); SEC-16 2023-12-31 流通 138.900</t>
        </is>
      </c>
      <c r="G16" s="3" t="inlineStr">
        <is>
          <t>估值每股口径采用委员会经济口径快照; 注册股数为不同口径, 跨口径调节材料未载明→待核实</t>
        </is>
      </c>
    </row>
    <row r="17">
      <c r="A17" s="3" t="inlineStr">
        <is>
          <t>2024E revenue growth</t>
        </is>
      </c>
      <c r="B17" s="3" t="inlineStr">
        <is>
          <t>0.22</t>
        </is>
      </c>
      <c r="C17" s="3" t="inlineStr">
        <is>
          <t>%</t>
        </is>
      </c>
      <c r="D17" s="3" t="inlineStr">
        <is>
          <t>UW-01 Underwriting_Assumptions (CP-06)</t>
        </is>
      </c>
      <c r="E17" s="3" t="n">
        <v>1</v>
      </c>
      <c r="F17" s="3" t="inlineStr">
        <is>
          <t>sector_benchmark 行业中位 18% (背景资料)</t>
        </is>
      </c>
      <c r="G17" s="3" t="inlineStr">
        <is>
          <t>内部委员会假设, 非 SEC 公开事实; 行业基准仅作背景, 不改假设</t>
        </is>
      </c>
    </row>
    <row r="18">
      <c r="A18" s="3" t="inlineStr">
        <is>
          <t>Peer EV/NTM Revenue 区间</t>
        </is>
      </c>
      <c r="B18" s="3" t="inlineStr">
        <is>
          <t>4.0x-5.0x (中点 4.5x)</t>
        </is>
      </c>
      <c r="C18" s="3" t="inlineStr">
        <is>
          <t>x</t>
        </is>
      </c>
      <c r="D18" s="3" t="inlineStr">
        <is>
          <t>UW-01 Committee_Peer_Set (CP-07)</t>
        </is>
      </c>
      <c r="E18" s="3" t="n">
        <v>1</v>
      </c>
      <c r="F18" s="6" t="inlineStr">
        <is>
          <t>BANK-B comps 4.2x-5.1x; BANK-A comps 4.0x-5.0x; sector_benchmark 中位 4.4x; peer_multiples_history 2024Q1 4.4x</t>
        </is>
      </c>
      <c r="G18" s="6" t="inlineStr">
        <is>
          <t>CP-07 区间端点以 committee peer set 为准; 承销商 comps 仅交叉验证 (BANK-A 与 committee 一致; BANK-B 端点 4.2/5.1 不采用); peer 等权均值 4.52x≈中点 4.5x 印证</t>
        </is>
      </c>
    </row>
    <row r="19">
      <c r="A19" s="3" t="inlineStr">
        <is>
          <t>IPO execution discount</t>
        </is>
      </c>
      <c r="B19" s="3" t="inlineStr">
        <is>
          <t>0.125</t>
        </is>
      </c>
      <c r="C19" s="3" t="inlineStr">
        <is>
          <t>%</t>
        </is>
      </c>
      <c r="D19" s="3" t="inlineStr">
        <is>
          <t>UW-01 (CP-09)</t>
        </is>
      </c>
      <c r="E19" s="3" t="n">
        <v>1</v>
      </c>
      <c r="F19" s="3" t="inlineStr">
        <is>
          <t>v2 政策 10% (已作废); legacy 0% (错误)</t>
        </is>
      </c>
      <c r="G19" s="3" t="inlineStr">
        <is>
          <t>v3 为现行控制口径; 折扣作用于 peer-implied 每股价值 (邮件第4条)</t>
        </is>
      </c>
    </row>
    <row r="20">
      <c r="A20" s="3" t="inlineStr">
        <is>
          <t>承销费率与基数</t>
        </is>
      </c>
      <c r="B20" s="3" t="inlineStr">
        <is>
          <t>5% × primary gross</t>
        </is>
      </c>
      <c r="C20" s="3" t="inlineStr">
        <is>
          <t>-</t>
        </is>
      </c>
      <c r="D20" s="3" t="inlineStr">
        <is>
          <t>UW-01 (CP-12) / SEC-10</t>
        </is>
      </c>
      <c r="E20" s="3" t="n">
        <v>1</v>
      </c>
      <c r="F20" s="3" t="inlineStr">
        <is>
          <t>v2: 按全部股份(含 secondary)计提 (已作废); legacy: primary+secondary</t>
        </is>
      </c>
      <c r="G20" s="3" t="inlineStr">
        <is>
          <t>SEC-10 承销协议摘要与 CP-12 一致: secondary 不入公司费用基数</t>
        </is>
      </c>
    </row>
    <row r="21">
      <c r="A21" s="3" t="inlineStr">
        <is>
          <t>固定发行费用</t>
        </is>
      </c>
      <c r="B21" s="3" t="inlineStr">
        <is>
          <t>7.0</t>
        </is>
      </c>
      <c r="C21" s="3" t="inlineStr">
        <is>
          <t>USD mm</t>
        </is>
      </c>
      <c r="D21" s="3" t="inlineStr">
        <is>
          <t>UW-01 (CP-12)</t>
        </is>
      </c>
      <c r="E21" s="3" t="n">
        <v>1</v>
      </c>
      <c r="F21" s="3" t="inlineStr">
        <is>
          <t>无</t>
        </is>
      </c>
      <c r="G21" s="3" t="inlineStr">
        <is>
          <t>greenshoe 增量不重复计提固定费用</t>
        </is>
      </c>
    </row>
    <row r="22">
      <c r="A22" s="3" t="inlineStr">
        <is>
          <t>Proposed price</t>
        </is>
      </c>
      <c r="B22" s="3" t="inlineStr">
        <is>
          <t>34.0</t>
        </is>
      </c>
      <c r="C22" s="3" t="inlineStr">
        <is>
          <t>USD/share</t>
        </is>
      </c>
      <c r="D22" s="3" t="inlineStr">
        <is>
          <t>UW-01 Offering_Terms (内部工作价)</t>
        </is>
      </c>
      <c r="E22" s="3" t="n">
        <v>1</v>
      </c>
      <c r="F22" s="3" t="inlineStr">
        <is>
          <t>无</t>
        </is>
      </c>
      <c r="G22" s="3" t="inlineStr">
        <is>
          <t>内部决策输入, 非已实现结果 (CP-01)</t>
        </is>
      </c>
    </row>
    <row r="23">
      <c r="A23" s="3" t="inlineStr">
        <is>
          <t>NTBV/share (假定价 $32.50)</t>
        </is>
      </c>
      <c r="B23" s="3" t="inlineStr">
        <is>
          <t>11.17</t>
        </is>
      </c>
      <c r="C23" s="3" t="inlineStr">
        <is>
          <t>USD/share</t>
        </is>
      </c>
      <c r="D23" s="3" t="inlineStr">
        <is>
          <t>SEC-02</t>
        </is>
      </c>
      <c r="E23" s="3" t="n">
        <v>1</v>
      </c>
      <c r="F23" s="3" t="inlineStr">
        <is>
          <t>无</t>
        </is>
      </c>
      <c r="G23" s="3" t="inlineStr">
        <is>
          <t>仅稀释交叉验算; data_dictionary: 仅在假定 $32.50 下测算, 不按 $34 重标定</t>
        </is>
      </c>
    </row>
    <row r="24">
      <c r="A24" s="3" t="inlineStr">
        <is>
          <t>Immediate dilution (假定价 $32.50)</t>
        </is>
      </c>
      <c r="B24" s="3" t="inlineStr">
        <is>
          <t>21.33</t>
        </is>
      </c>
      <c r="C24" s="3" t="inlineStr">
        <is>
          <t>USD/share</t>
        </is>
      </c>
      <c r="D24" s="3" t="inlineStr">
        <is>
          <t>SEC-02</t>
        </is>
      </c>
      <c r="E24" s="3" t="n">
        <v>1</v>
      </c>
      <c r="F24" s="3" t="inlineStr">
        <is>
          <t>legacy 自算口径不一致的稀释</t>
        </is>
      </c>
      <c r="G24" s="3" t="inlineStr">
        <is>
          <t>内部一致性: 32.5-11.17=21.33 ✓; 用途边界=交叉验算, 非估值输入</t>
        </is>
      </c>
    </row>
    <row r="25">
      <c r="A25" s="3" t="inlineStr">
        <is>
          <t>政策版本</t>
        </is>
      </c>
      <c r="B25" s="3" t="inlineStr">
        <is>
          <t>v3 (2024-03-20)</t>
        </is>
      </c>
      <c r="C25" s="3" t="inlineStr">
        <is>
          <t>-</t>
        </is>
      </c>
      <c r="D25" s="3" t="inlineStr">
        <is>
          <t>committee/Committee_Policy_v3_20240320.xlsx</t>
        </is>
      </c>
      <c r="E25" s="3" t="n">
        <v>1</v>
      </c>
      <c r="F25" s="3" t="inlineStr">
        <is>
          <t>v2 (2024-03-05)</t>
        </is>
      </c>
      <c r="G25" s="6" t="inlineStr">
        <is>
          <t>文件名日期取最新 + v2 Revision_Note 自认被取代 + data_revision_log + 邮件第1条</t>
        </is>
      </c>
    </row>
    <row r="26">
      <c r="A26" s="3" t="inlineStr">
        <is>
          <t>FY2023 Advertising revenue</t>
        </is>
      </c>
      <c r="B26" s="3" t="inlineStr">
        <is>
          <t>788.782</t>
        </is>
      </c>
      <c r="C26" s="3" t="inlineStr">
        <is>
          <t>USD mm</t>
        </is>
      </c>
      <c r="D26" s="3" t="inlineStr">
        <is>
          <t>SEC-01</t>
        </is>
      </c>
      <c r="E26" s="3" t="n">
        <v>1</v>
      </c>
      <c r="F26" s="3" t="inlineStr">
        <is>
          <t>无</t>
        </is>
      </c>
      <c r="G26" s="3" t="inlineStr">
        <is>
          <t>分部勾稽采用值</t>
        </is>
      </c>
    </row>
    <row r="27">
      <c r="A27" s="3" t="inlineStr">
        <is>
          <t>FY2023 Other revenue</t>
        </is>
      </c>
      <c r="B27" s="3" t="inlineStr">
        <is>
          <t>15.247</t>
        </is>
      </c>
      <c r="C27" s="3" t="inlineStr">
        <is>
          <t>USD mm</t>
        </is>
      </c>
      <c r="D27" s="3" t="inlineStr">
        <is>
          <t>SEC-01</t>
        </is>
      </c>
      <c r="E27" s="3" t="n">
        <v>1</v>
      </c>
      <c r="F27" s="3" t="inlineStr">
        <is>
          <t>revenue_by_segment 行 152.470 (10x 小数点移位)</t>
        </is>
      </c>
      <c r="G27" s="3" t="inlineStr">
        <is>
          <t>以 SEC-01(P1) 为准, 修正后分部勾稽一致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4" customWidth="1" min="3" max="3"/>
    <col width="14" customWidth="1" min="4" max="4"/>
    <col width="12" customWidth="1" min="5" max="5"/>
    <col width="26" customWidth="1" min="6" max="6"/>
    <col width="70" customWidth="1" min="7" max="7"/>
    <col width="14" customWidth="1" min="8" max="8"/>
    <col width="12" customWidth="1" min="9" max="9"/>
  </cols>
  <sheetData>
    <row r="1">
      <c r="A1" s="1" t="inlineStr">
        <is>
          <t>序列</t>
        </is>
      </c>
      <c r="B1" s="1" t="inlineStr">
        <is>
          <t>文件</t>
        </is>
      </c>
      <c r="C1" s="1" t="inlineStr">
        <is>
          <t>明细加总(原始)</t>
        </is>
      </c>
      <c r="D1" s="1" t="inlineStr">
        <is>
          <t>目标年度数(SEC)</t>
        </is>
      </c>
      <c r="E1" s="1" t="inlineStr">
        <is>
          <t>差额</t>
        </is>
      </c>
      <c r="F1" s="1" t="inlineStr">
        <is>
          <t>异常类型</t>
        </is>
      </c>
      <c r="G1" s="1" t="inlineStr">
        <is>
          <t>处置结果</t>
        </is>
      </c>
      <c r="H1" s="1" t="inlineStr">
        <is>
          <t>修正后加总</t>
        </is>
      </c>
      <c r="I1" s="1" t="inlineStr">
        <is>
          <t>勾稽结论</t>
        </is>
      </c>
    </row>
    <row r="2">
      <c r="A2" s="3" t="inlineStr">
        <is>
          <t>月度收入 FY2022 (原始含异常行)</t>
        </is>
      </c>
      <c r="B2" s="3" t="inlineStr">
        <is>
          <t>financials/monthly_revenue_2022_2023.csv</t>
        </is>
      </c>
      <c r="C2" s="4" t="n">
        <v>723.801</v>
      </c>
      <c r="D2" s="4" t="n">
        <v>666.701</v>
      </c>
      <c r="E2" s="4" t="n">
        <v>57.10000000000002</v>
      </c>
      <c r="F2" s="3" t="inlineStr">
        <is>
          <t>重复行</t>
        </is>
      </c>
      <c r="G2" s="3" t="inlineStr">
        <is>
          <t>2022-08: 重复行(值 57.100, 来源 SEC-01)→去重保留1行; 修正后=666.701 勾稽一致</t>
        </is>
      </c>
      <c r="H2" s="4" t="n">
        <v>666.701</v>
      </c>
      <c r="I2" s="3" t="inlineStr">
        <is>
          <t>一致</t>
        </is>
      </c>
    </row>
    <row r="3">
      <c r="A3" s="3" t="inlineStr">
        <is>
          <t>月度收入 FY2023 (原始含异常行)</t>
        </is>
      </c>
      <c r="B3" s="3" t="inlineStr">
        <is>
          <t>financials/monthly_revenue_2022_2023.csv</t>
        </is>
      </c>
      <c r="C3" s="4" t="n">
        <v>870.529</v>
      </c>
      <c r="D3" s="4" t="n">
        <v>804.029</v>
      </c>
      <c r="E3" s="4" t="n">
        <v>66.5</v>
      </c>
      <c r="F3" s="3" t="inlineStr">
        <is>
          <t>低优先级来源冲突(preliminary 残留)</t>
        </is>
      </c>
      <c r="G3" s="6" t="inlineStr">
        <is>
          <t>2023-12: 来源冲突 INT-01(P9) 66.500 vs 采用 SEC-01(P1) 68.979 → 排除低优先级行; 修正后=804.029 勾稽一致</t>
        </is>
      </c>
      <c r="H3" s="4" t="n">
        <v>804.029</v>
      </c>
      <c r="I3" s="3" t="inlineStr">
        <is>
          <t>一致</t>
        </is>
      </c>
    </row>
    <row r="4">
      <c r="A4" s="3" t="inlineStr">
        <is>
          <t>分部收入 FY2022</t>
        </is>
      </c>
      <c r="B4" s="3" t="inlineStr">
        <is>
          <t>financials/revenue_by_segment_2022_2023.csv</t>
        </is>
      </c>
      <c r="C4" s="4" t="n">
        <v>666.701</v>
      </c>
      <c r="D4" s="4" t="n">
        <v>666.701</v>
      </c>
      <c r="E4" s="4" t="n">
        <v>0</v>
      </c>
      <c r="F4" s="3" t="inlineStr">
        <is>
          <t>一致</t>
        </is>
      </c>
      <c r="G4" s="3" t="inlineStr">
        <is>
          <t>无需处置</t>
        </is>
      </c>
      <c r="H4" s="4" t="n">
        <v>666.701</v>
      </c>
      <c r="I4" s="3" t="inlineStr">
        <is>
          <t>一致</t>
        </is>
      </c>
    </row>
    <row r="5">
      <c r="A5" s="3" t="inlineStr">
        <is>
          <t>分部收入 FY2023</t>
        </is>
      </c>
      <c r="B5" s="3" t="inlineStr">
        <is>
          <t>financials/revenue_by_segment_2022_2023.csv</t>
        </is>
      </c>
      <c r="C5" s="4" t="n">
        <v>941.2520000000001</v>
      </c>
      <c r="D5" s="4" t="n">
        <v>804.029</v>
      </c>
      <c r="E5" s="4" t="n">
        <v>137.2230000000001</v>
      </c>
      <c r="F5" s="3" t="inlineStr">
        <is>
          <t>小数点移位(10x)</t>
        </is>
      </c>
      <c r="G5" s="6" t="inlineStr">
        <is>
          <t>Other 行 152.470 vs SEC-01 15.247 (比值 10 → 小数点移位/十倍错); 按 SEC-01(P1) 取 15.247; 修正后=804.029 勾稽一致</t>
        </is>
      </c>
      <c r="H5" s="4" t="n">
        <v>804.029</v>
      </c>
      <c r="I5" s="3" t="inlineStr">
        <is>
          <t>一致</t>
        </is>
      </c>
    </row>
    <row r="6">
      <c r="A6" s="3" t="inlineStr">
        <is>
          <t>地区收入 FY2022 (US+International)</t>
        </is>
      </c>
      <c r="B6" s="3" t="inlineStr">
        <is>
          <t>sec_filings/SEC-05_revenue_by_geo.csv</t>
        </is>
      </c>
      <c r="C6" s="4" t="n">
        <v>666.701</v>
      </c>
      <c r="D6" s="4" t="n">
        <v>666.701</v>
      </c>
      <c r="E6" s="4" t="n">
        <v>0</v>
      </c>
      <c r="F6" s="3" t="inlineStr">
        <is>
          <t>一致</t>
        </is>
      </c>
      <c r="G6" s="3" t="inlineStr">
        <is>
          <t>无需处置</t>
        </is>
      </c>
      <c r="H6" s="4" t="n">
        <v>666.701</v>
      </c>
      <c r="I6" s="3" t="inlineStr">
        <is>
          <t>一致</t>
        </is>
      </c>
    </row>
    <row r="7">
      <c r="A7" s="3" t="inlineStr">
        <is>
          <t>地区收入 FY2023 (US+International)</t>
        </is>
      </c>
      <c r="B7" s="3" t="inlineStr">
        <is>
          <t>sec_filings/SEC-05_revenue_by_geo.csv</t>
        </is>
      </c>
      <c r="C7" s="4" t="n">
        <v>804.029</v>
      </c>
      <c r="D7" s="4" t="n">
        <v>804.029</v>
      </c>
      <c r="E7" s="4" t="n">
        <v>0</v>
      </c>
      <c r="F7" s="3" t="inlineStr">
        <is>
          <t>一致</t>
        </is>
      </c>
      <c r="G7" s="3" t="inlineStr">
        <is>
          <t>无需处置</t>
        </is>
      </c>
      <c r="H7" s="4" t="n">
        <v>804.029</v>
      </c>
      <c r="I7" s="3" t="inlineStr">
        <is>
          <t>一致</t>
        </is>
      </c>
    </row>
    <row r="8">
      <c r="A8" s="3" t="inlineStr">
        <is>
          <t>季度收入 FY2023 (Q1..Q4)</t>
        </is>
      </c>
      <c r="B8" s="3" t="inlineStr">
        <is>
          <t>financials/revenue_quarterly.csv</t>
        </is>
      </c>
      <c r="C8" s="4" t="n">
        <v>804.029</v>
      </c>
      <c r="D8" s="4" t="n">
        <v>804.029</v>
      </c>
      <c r="E8" s="4" t="n">
        <v>0</v>
      </c>
      <c r="F8" s="3" t="inlineStr">
        <is>
          <t>一致</t>
        </is>
      </c>
      <c r="G8" s="3" t="inlineStr">
        <is>
          <t>无需处置</t>
        </is>
      </c>
      <c r="H8" s="4" t="n">
        <v>804.029</v>
      </c>
      <c r="I8" s="3" t="inlineStr">
        <is>
          <t>一致</t>
        </is>
      </c>
    </row>
    <row r="9">
      <c r="A9" s="3" t="inlineStr">
        <is>
          <t>SBC 明细合计 FY2022</t>
        </is>
      </c>
      <c r="B9" s="3" t="inlineStr">
        <is>
          <t>financials/sbc_detail_2022_2023.csv</t>
        </is>
      </c>
      <c r="C9" s="4" t="n">
        <v>55.768</v>
      </c>
      <c r="D9" s="4" t="n">
        <v>55.768</v>
      </c>
      <c r="E9" s="4" t="n">
        <v>0</v>
      </c>
      <c r="F9" s="3" t="inlineStr">
        <is>
          <t>一致</t>
        </is>
      </c>
      <c r="G9" s="3" t="inlineStr">
        <is>
          <t>分项和=SEC-01; 无 TOTAL 行</t>
        </is>
      </c>
      <c r="H9" s="4" t="n">
        <v>55.768</v>
      </c>
      <c r="I9" s="3" t="inlineStr">
        <is>
          <t>一致</t>
        </is>
      </c>
    </row>
    <row r="10">
      <c r="A10" s="3" t="inlineStr">
        <is>
          <t>SBC 明细合计 FY2023</t>
        </is>
      </c>
      <c r="B10" s="3" t="inlineStr">
        <is>
          <t>financials/sbc_detail_2022_2023.csv</t>
        </is>
      </c>
      <c r="C10" s="4" t="n">
        <v>49.68</v>
      </c>
      <c r="D10" s="4" t="n">
        <v>49.086</v>
      </c>
      <c r="E10" s="4" t="n">
        <v>0.5940000000000012</v>
      </c>
      <c r="F10" s="3" t="inlineStr">
        <is>
          <t>TOTAL 行计算错误</t>
        </is>
      </c>
      <c r="G10" s="6" t="inlineStr">
        <is>
          <t>TOTAL 行 49.680 ≠ 分项和 49.086 (差 +0.594); 分项和与 SEC-01 49.086 一致 → 弃用 TOTAL 行, 采用分项和/SEC-01(P1)</t>
        </is>
      </c>
      <c r="H10" s="4" t="n">
        <v>49.086</v>
      </c>
      <c r="I10" s="3" t="inlineStr">
        <is>
          <t>一致</t>
        </is>
      </c>
    </row>
    <row r="11">
      <c r="A11" s="3" t="inlineStr">
        <is>
          <t>重组费用明细 FY2023</t>
        </is>
      </c>
      <c r="B11" s="3" t="inlineStr">
        <is>
          <t>financials/restructuring_detail_2023.csv</t>
        </is>
      </c>
      <c r="C11" s="4" t="n">
        <v>8.098000000000001</v>
      </c>
      <c r="D11" s="4" t="n">
        <v>8.098000000000001</v>
      </c>
      <c r="E11" s="4" t="n">
        <v>0</v>
      </c>
      <c r="F11" s="3" t="inlineStr">
        <is>
          <t>一致</t>
        </is>
      </c>
      <c r="G11" s="3" t="inlineStr">
        <is>
          <t>分项和=TOTAL 行=SEC-01, 无需处置</t>
        </is>
      </c>
      <c r="H11" s="4" t="n">
        <v>8.098000000000001</v>
      </c>
      <c r="I11" s="3" t="inlineStr">
        <is>
          <t>一致</t>
        </is>
      </c>
    </row>
    <row r="12">
      <c r="A12" s="3" t="inlineStr">
        <is>
          <t>FCF 桥 FY2023 (OCF+capex)</t>
        </is>
      </c>
      <c r="B12" s="3" t="inlineStr">
        <is>
          <t>financials/fcf_bridge_2023.csv</t>
        </is>
      </c>
      <c r="C12" s="4" t="n">
        <v>-84.83799999999999</v>
      </c>
      <c r="D12" s="4" t="n">
        <v>-84.83799999999999</v>
      </c>
      <c r="E12" s="4" t="n">
        <v>0</v>
      </c>
      <c r="F12" s="3" t="inlineStr">
        <is>
          <t>一致</t>
        </is>
      </c>
      <c r="G12" s="3" t="inlineStr">
        <is>
          <t>-52.026 + (-32.812) = -84.838 = SEC-01 FCF</t>
        </is>
      </c>
      <c r="H12" s="4" t="n">
        <v>-84.83799999999999</v>
      </c>
      <c r="I12" s="3" t="inlineStr">
        <is>
          <t>一致</t>
        </is>
      </c>
    </row>
    <row r="13">
      <c r="A13" s="3" t="inlineStr">
        <is>
          <t>利润表 FY2022 (费用合计/净亏损)</t>
        </is>
      </c>
      <c r="B13" s="3" t="inlineStr">
        <is>
          <t>financials/income_statement_2022_2023.csv</t>
        </is>
      </c>
      <c r="C13" s="4" t="n">
        <v>-158.55</v>
      </c>
      <c r="D13" s="4" t="n">
        <v>-158.55</v>
      </c>
      <c r="E13" s="4" t="n">
        <v>0</v>
      </c>
      <c r="F13" s="3" t="inlineStr">
        <is>
          <t>一致</t>
        </is>
      </c>
      <c r="G13" s="6" t="inlineStr">
        <is>
          <t>费用分项和=-843.100=Total 行; 666.701-843.100+17.849=-158.550=SEC-01 净亏损</t>
        </is>
      </c>
      <c r="H13" s="4" t="n">
        <v>-158.55</v>
      </c>
      <c r="I13" s="3" t="inlineStr">
        <is>
          <t>一致</t>
        </is>
      </c>
    </row>
    <row r="14">
      <c r="A14" s="3" t="inlineStr">
        <is>
          <t>利润表 FY2023 (费用合计/净亏损)</t>
        </is>
      </c>
      <c r="B14" s="3" t="inlineStr">
        <is>
          <t>financials/income_statement_2022_2023.csv</t>
        </is>
      </c>
      <c r="C14" s="4" t="n">
        <v>-90.82400000000001</v>
      </c>
      <c r="D14" s="4" t="n">
        <v>-90.824</v>
      </c>
      <c r="E14" s="4" t="n">
        <v>-1.4210854715202e-14</v>
      </c>
      <c r="F14" s="3" t="inlineStr">
        <is>
          <t>一致</t>
        </is>
      </c>
      <c r="G14" s="6" t="inlineStr">
        <is>
          <t>费用分项和=-913.500=Total 行; 804.029-913.500+18.647=-90.824=SEC-01 净亏损</t>
        </is>
      </c>
      <c r="H14" s="4" t="n">
        <v>-90.82400000000001</v>
      </c>
      <c r="I14" s="3" t="inlineStr">
        <is>
          <t>一致</t>
        </is>
      </c>
    </row>
    <row r="15">
      <c r="A15" s="3" t="inlineStr">
        <is>
          <t>现金流量表 FY2023 (三项活动→期末现金)</t>
        </is>
      </c>
      <c r="B15" s="3" t="inlineStr">
        <is>
          <t>financials/cash_flow_statement_2023.csv</t>
        </is>
      </c>
      <c r="C15" s="4" t="n">
        <v>401.176</v>
      </c>
      <c r="D15" s="4" t="n">
        <v>401.176</v>
      </c>
      <c r="E15" s="4" t="n">
        <v>0</v>
      </c>
      <c r="F15" s="3" t="inlineStr">
        <is>
          <t>一致</t>
        </is>
      </c>
      <c r="G15" s="3" t="inlineStr">
        <is>
          <t>-34.634 净变动; 435.810-34.634=401.176=期末现金=SEC-01</t>
        </is>
      </c>
      <c r="H15" s="4" t="n">
        <v>401.176</v>
      </c>
      <c r="I15" s="3" t="inlineStr">
        <is>
          <t>一致</t>
        </is>
      </c>
    </row>
    <row r="16">
      <c r="A16" s="3" t="inlineStr">
        <is>
          <t>现金+有价证券 FY2022</t>
        </is>
      </c>
      <c r="B16" s="3" t="inlineStr">
        <is>
          <t>financials/balance_sheet_summary_2022_2023.csv</t>
        </is>
      </c>
      <c r="C16" s="4" t="n">
        <v>1266.544</v>
      </c>
      <c r="D16" s="4" t="n">
        <v>1266.544</v>
      </c>
      <c r="E16" s="4" t="n">
        <v>0</v>
      </c>
      <c r="F16" s="3" t="inlineStr">
        <is>
          <t>一致</t>
        </is>
      </c>
      <c r="G16" s="3" t="inlineStr">
        <is>
          <t>435.810+830.734=1266.544=Total 行=SEC-01</t>
        </is>
      </c>
      <c r="H16" s="4" t="n">
        <v>1266.544</v>
      </c>
      <c r="I16" s="3" t="inlineStr">
        <is>
          <t>一致</t>
        </is>
      </c>
    </row>
    <row r="17">
      <c r="A17" s="3" t="inlineStr">
        <is>
          <t>现金+有价证券 FY2023</t>
        </is>
      </c>
      <c r="B17" s="3" t="inlineStr">
        <is>
          <t>financials/balance_sheet_summary_2022_2023.csv</t>
        </is>
      </c>
      <c r="C17" s="4" t="n">
        <v>1213.122</v>
      </c>
      <c r="D17" s="4" t="n">
        <v>1213.122</v>
      </c>
      <c r="E17" s="4" t="n">
        <v>0</v>
      </c>
      <c r="F17" s="3" t="inlineStr">
        <is>
          <t>一致</t>
        </is>
      </c>
      <c r="G17" s="3" t="inlineStr">
        <is>
          <t>401.176+811.946=1213.122=Total 行=SEC-01</t>
        </is>
      </c>
      <c r="H17" s="4" t="n">
        <v>1213.122</v>
      </c>
      <c r="I17" s="3" t="inlineStr">
        <is>
          <t>一致</t>
        </is>
      </c>
    </row>
    <row r="18">
      <c r="A18" s="3" t="inlineStr">
        <is>
          <t>cap table 合计 (pre-money 经济口径股数)</t>
        </is>
      </c>
      <c r="B18" s="3" t="inlineStr">
        <is>
          <t>committee/cap_table_snapshot_20240318.csv</t>
        </is>
      </c>
      <c r="C18" s="4" t="n">
        <v>143.716563</v>
      </c>
      <c r="D18" s="4" t="n">
        <v>143.716563</v>
      </c>
      <c r="E18" s="4" t="n">
        <v>0</v>
      </c>
      <c r="F18" s="3" t="inlineStr">
        <is>
          <t>一致</t>
        </is>
      </c>
      <c r="G18" s="3" t="inlineStr">
        <is>
          <t>6 类分项和=143.716563=TOTAL 行=SEC-09 分项和=发行条款 pre-money</t>
        </is>
      </c>
      <c r="H18" s="4" t="n">
        <v>143.716563</v>
      </c>
      <c r="I18" s="3" t="inlineStr">
        <is>
          <t>一致</t>
        </is>
      </c>
    </row>
    <row r="19">
      <c r="A19" s="3" t="inlineStr">
        <is>
          <t>SEC-16 注册股数 vs 经济口径快照 (2024-03-18)</t>
        </is>
      </c>
      <c r="B19" s="3" t="inlineStr">
        <is>
          <t>sec_filings/SEC-16_share_count_history.csv</t>
        </is>
      </c>
      <c r="C19" s="4" t="n">
        <v>141.2</v>
      </c>
      <c r="D19" s="4" t="n">
        <v>143.716563</v>
      </c>
      <c r="E19" s="4" t="n">
        <v>-2.516563000000019</v>
      </c>
      <c r="F19" s="3" t="inlineStr">
        <is>
          <t>口径差异(非异常)</t>
        </is>
      </c>
      <c r="G19" s="6" t="inlineStr">
        <is>
          <t>注册股数 141.200 不含未结算 RSU; 与经济口径 143.716563 的跨口径调节材料未载明 → 待核实; 估值采用委员会经济口径快照(UW-01, CP-08/Offering_Terms)</t>
        </is>
      </c>
      <c r="H19" s="4" t="n">
        <v>141.2</v>
      </c>
      <c r="I19" s="3" t="inlineStr">
        <is>
          <t>按规则处置</t>
        </is>
      </c>
    </row>
    <row r="20">
      <c r="A20" s="3" t="inlineStr">
        <is>
          <t>DAU×ARPU FY2022</t>
        </is>
      </c>
      <c r="B20" s="3" t="inlineStr">
        <is>
          <t>financials/dau_arpu_metrics.csv</t>
        </is>
      </c>
      <c r="C20" s="4" t="n">
        <v>667</v>
      </c>
      <c r="D20" s="4" t="n">
        <v>666.701</v>
      </c>
      <c r="E20" s="4" t="n">
        <v>0.2989999999999782</v>
      </c>
      <c r="F20" s="3" t="inlineStr">
        <is>
          <t>舍入差</t>
        </is>
      </c>
      <c r="G20" s="6" t="inlineStr">
        <is>
          <t>ARPU 仅两位小数 → 667.000 vs 666.701 (差 +0.299); 可接受, 年度数以 SEC-01 为准</t>
        </is>
      </c>
      <c r="H20" s="4" t="n">
        <v>667</v>
      </c>
      <c r="I20" s="3" t="inlineStr">
        <is>
          <t>按规则处置</t>
        </is>
      </c>
    </row>
    <row r="21">
      <c r="A21" s="3" t="inlineStr">
        <is>
          <t>DAU×ARPU FY2023</t>
        </is>
      </c>
      <c r="B21" s="3" t="inlineStr">
        <is>
          <t>financials/dau_arpu_metrics.csv</t>
        </is>
      </c>
      <c r="C21" s="4" t="n">
        <v>803.985</v>
      </c>
      <c r="D21" s="4" t="n">
        <v>804.029</v>
      </c>
      <c r="E21" s="4" t="n">
        <v>-0.04399999999998272</v>
      </c>
      <c r="F21" s="3" t="inlineStr">
        <is>
          <t>舍入差</t>
        </is>
      </c>
      <c r="G21" s="6" t="inlineStr">
        <is>
          <t>ARPU 仅两位小数 → 803.985 vs 804.029 (差 -0.044); 可接受, 年度数以 SEC-01 为准</t>
        </is>
      </c>
      <c r="H21" s="4" t="n">
        <v>803.985</v>
      </c>
      <c r="I21" s="3" t="inlineStr">
        <is>
          <t>按规则处置</t>
        </is>
      </c>
    </row>
    <row r="23">
      <c r="A23" s="2" t="inlineStr">
        <is>
          <t>季度 vs 修正后月度 (FY2023, 交叉勾稽)</t>
        </is>
      </c>
    </row>
    <row r="24">
      <c r="A24" s="3" t="inlineStr">
        <is>
          <t>FY2023 Q1</t>
        </is>
      </c>
      <c r="B24" s="3" t="inlineStr">
        <is>
          <t>financials/revenue_quarterly.csv vs monthly (修正后)</t>
        </is>
      </c>
      <c r="C24" s="4" t="n">
        <v>184.75</v>
      </c>
      <c r="D24" s="4" t="n">
        <v>184.75</v>
      </c>
      <c r="E24" s="4" t="n">
        <v>0</v>
      </c>
      <c r="F24" s="3" t="inlineStr">
        <is>
          <t>一致</t>
        </is>
      </c>
      <c r="G24" s="3" t="inlineStr">
        <is>
          <t>无需处置</t>
        </is>
      </c>
      <c r="H24" s="4" t="n">
        <v>184.75</v>
      </c>
      <c r="I24" s="3" t="inlineStr">
        <is>
          <t>一致</t>
        </is>
      </c>
    </row>
    <row r="25">
      <c r="A25" s="3" t="inlineStr">
        <is>
          <t>FY2023 Q2</t>
        </is>
      </c>
      <c r="B25" s="3" t="inlineStr">
        <is>
          <t>financials/revenue_quarterly.csv vs monthly (修正后)</t>
        </is>
      </c>
      <c r="C25" s="4" t="n">
        <v>198.2</v>
      </c>
      <c r="D25" s="4" t="n">
        <v>198.2</v>
      </c>
      <c r="E25" s="4" t="n">
        <v>0</v>
      </c>
      <c r="F25" s="3" t="inlineStr">
        <is>
          <t>一致</t>
        </is>
      </c>
      <c r="G25" s="3" t="inlineStr">
        <is>
          <t>无需处置</t>
        </is>
      </c>
      <c r="H25" s="4" t="n">
        <v>198.2</v>
      </c>
      <c r="I25" s="3" t="inlineStr">
        <is>
          <t>一致</t>
        </is>
      </c>
    </row>
    <row r="26">
      <c r="A26" s="3" t="inlineStr">
        <is>
          <t>FY2023 Q3</t>
        </is>
      </c>
      <c r="B26" s="3" t="inlineStr">
        <is>
          <t>financials/revenue_quarterly.csv vs monthly (修正后)</t>
        </is>
      </c>
      <c r="C26" s="4" t="n">
        <v>207.8</v>
      </c>
      <c r="D26" s="4" t="n">
        <v>207.8</v>
      </c>
      <c r="E26" s="4" t="n">
        <v>0</v>
      </c>
      <c r="F26" s="3" t="inlineStr">
        <is>
          <t>一致</t>
        </is>
      </c>
      <c r="G26" s="3" t="inlineStr">
        <is>
          <t>无需处置</t>
        </is>
      </c>
      <c r="H26" s="4" t="n">
        <v>207.8</v>
      </c>
      <c r="I26" s="3" t="inlineStr">
        <is>
          <t>一致</t>
        </is>
      </c>
    </row>
    <row r="27">
      <c r="A27" s="3" t="inlineStr">
        <is>
          <t>FY2023 Q4</t>
        </is>
      </c>
      <c r="B27" s="3" t="inlineStr">
        <is>
          <t>financials/revenue_quarterly.csv vs monthly (修正后)</t>
        </is>
      </c>
      <c r="C27" s="4" t="n">
        <v>213.279</v>
      </c>
      <c r="D27" s="4" t="n">
        <v>213.279</v>
      </c>
      <c r="E27" s="4" t="n">
        <v>0</v>
      </c>
      <c r="F27" s="3" t="inlineStr">
        <is>
          <t>一致</t>
        </is>
      </c>
      <c r="G27" s="3" t="inlineStr">
        <is>
          <t>无需处置</t>
        </is>
      </c>
      <c r="H27" s="4" t="n">
        <v>213.279</v>
      </c>
      <c r="I27" s="3" t="inlineStr">
        <is>
          <t>一致</t>
        </is>
      </c>
    </row>
  </sheetData>
  <mergeCells count="1"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2026-10-10T06:23:16Z</dcterms:created>
  <dcterms:modified xmlns:dcterms="http://purl.org/dc/terms/" xmlns:xsi="http://www.w3.org/2001/XMLSchema-instance" xsi:type="dcterms:W3CDTF">2026-10-10T06:23:16Z</dcterms:modified>
</cp:coreProperties>
</file>