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1.7" customWidth="1" min="1" max="1"/>
    <col width="31.9" customWidth="1" min="2" max="2"/>
    <col width="60" customWidth="1" min="3" max="3"/>
    <col width="11" customWidth="1" min="4" max="4"/>
    <col width="10" customWidth="1" min="5" max="5"/>
    <col width="10" customWidth="1" min="6" max="6"/>
    <col width="14.3" customWidth="1" min="7" max="7"/>
    <col width="11" customWidth="1" min="8" max="8"/>
    <col width="11" customWidth="1" min="9" max="9"/>
    <col width="11" customWidth="1" min="10" max="10"/>
    <col width="14.3" customWidth="1" min="11" max="11"/>
  </cols>
  <sheetData>
    <row r="1">
      <c r="A1" s="1" t="inlineStr">
        <is>
          <t>块1 材料清点（材料截止时点 2026-10-08；估值日 2026-09-30）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目录</t>
        </is>
      </c>
      <c r="B2" s="3" t="inlineStr">
        <is>
          <t>文件数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compliance</t>
        </is>
      </c>
      <c r="B3" s="2" t="n">
        <v>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data</t>
        </is>
      </c>
      <c r="B4" s="2" t="n">
        <v>3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internal</t>
        </is>
      </c>
      <c r="B5" s="2" t="n">
        <v>4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portfolio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reports</t>
        </is>
      </c>
      <c r="B7" s="2" t="n">
        <v>3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rules</t>
        </is>
      </c>
      <c r="B8" s="2" t="n">
        <v>4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valuation</t>
        </is>
      </c>
      <c r="B9" s="2" t="n">
        <v>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根目录散件（00_README.md、manifest.csv）</t>
        </is>
      </c>
      <c r="B10" s="2" t="n">
        <v>2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合计</t>
        </is>
      </c>
      <c r="B11" s="2" t="n">
        <v>25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来源目录数</t>
        </is>
      </c>
      <c r="B12" s="2" t="n">
        <v>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勾稽校验</t>
        </is>
      </c>
      <c r="B13" s="2" t="inlineStr">
        <is>
          <t>分目录小计 23 + 根散件 2 = 25，与文件总数一致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1" t="inlineStr">
        <is>
          <t>块2 逐账户 sheet 持仓覆盖（10 个账户表全读，末行合计）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3" t="inlineStr">
        <is>
          <t>sheet</t>
        </is>
      </c>
      <c r="B16" s="3" t="inlineStr">
        <is>
          <t>原始行数</t>
        </is>
      </c>
      <c r="C16" s="3" t="inlineStr">
        <is>
          <t>剔除行数_估值日归属</t>
        </is>
      </c>
      <c r="D16" s="3" t="inlineStr">
        <is>
          <t>剔除行数_主数据状态</t>
        </is>
      </c>
      <c r="E16" s="3" t="inlineStr">
        <is>
          <t>剔除行数_重复上报</t>
        </is>
      </c>
      <c r="F16" s="3" t="inlineStr">
        <is>
          <t>有效行数</t>
        </is>
      </c>
      <c r="G16" s="3" t="inlineStr">
        <is>
          <t>原始市值</t>
        </is>
      </c>
      <c r="H16" s="3" t="inlineStr">
        <is>
          <t>剔除市值_估值日归属</t>
        </is>
      </c>
      <c r="I16" s="3" t="inlineStr">
        <is>
          <t>剔除市值_主数据状态</t>
        </is>
      </c>
      <c r="J16" s="3" t="inlineStr">
        <is>
          <t>剔除市值_重复上报</t>
        </is>
      </c>
      <c r="K16" s="3" t="inlineStr">
        <is>
          <t>有效市值</t>
        </is>
      </c>
    </row>
    <row r="17">
      <c r="A17" s="2" t="inlineStr">
        <is>
          <t>acct_01</t>
        </is>
      </c>
      <c r="B17" s="2" t="n">
        <v>42</v>
      </c>
      <c r="C17" s="2" t="n">
        <v>0</v>
      </c>
      <c r="D17" s="2" t="n">
        <v>1</v>
      </c>
      <c r="E17" s="2" t="n">
        <v>1</v>
      </c>
      <c r="F17" s="2" t="n">
        <v>40</v>
      </c>
      <c r="G17" s="2" t="n">
        <v>214086929.42</v>
      </c>
      <c r="H17" s="2" t="n">
        <v>0</v>
      </c>
      <c r="I17" s="2" t="n">
        <v>2928450</v>
      </c>
      <c r="J17" s="2" t="n">
        <v>1919435.4</v>
      </c>
      <c r="K17" s="2" t="n">
        <v>209239044.02</v>
      </c>
    </row>
    <row r="18">
      <c r="A18" s="2" t="inlineStr">
        <is>
          <t>acct_02</t>
        </is>
      </c>
      <c r="B18" s="2" t="n">
        <v>36</v>
      </c>
      <c r="C18" s="2" t="n">
        <v>1</v>
      </c>
      <c r="D18" s="2" t="n">
        <v>1</v>
      </c>
      <c r="E18" s="2" t="n">
        <v>0</v>
      </c>
      <c r="F18" s="2" t="n">
        <v>34</v>
      </c>
      <c r="G18" s="2" t="n">
        <v>159870291.19</v>
      </c>
      <c r="H18" s="2" t="n">
        <v>532687.1</v>
      </c>
      <c r="I18" s="2" t="n">
        <v>4073280</v>
      </c>
      <c r="J18" s="2" t="n">
        <v>0</v>
      </c>
      <c r="K18" s="2" t="n">
        <v>155264324.09</v>
      </c>
    </row>
    <row r="19">
      <c r="A19" s="2" t="inlineStr">
        <is>
          <t>acct_03</t>
        </is>
      </c>
      <c r="B19" s="2" t="n">
        <v>38</v>
      </c>
      <c r="C19" s="2" t="n">
        <v>0</v>
      </c>
      <c r="D19" s="2" t="n">
        <v>1</v>
      </c>
      <c r="E19" s="2" t="n">
        <v>1</v>
      </c>
      <c r="F19" s="2" t="n">
        <v>36</v>
      </c>
      <c r="G19" s="2" t="n">
        <v>187073923.8</v>
      </c>
      <c r="H19" s="2" t="n">
        <v>0</v>
      </c>
      <c r="I19" s="2" t="n">
        <v>5132850</v>
      </c>
      <c r="J19" s="2" t="n">
        <v>461495</v>
      </c>
      <c r="K19" s="2" t="n">
        <v>181479578.8</v>
      </c>
    </row>
    <row r="20">
      <c r="A20" s="2" t="inlineStr">
        <is>
          <t>acct_04</t>
        </is>
      </c>
      <c r="B20" s="2" t="n">
        <v>34</v>
      </c>
      <c r="C20" s="2" t="n">
        <v>1</v>
      </c>
      <c r="D20" s="2" t="n">
        <v>1</v>
      </c>
      <c r="E20" s="2" t="n">
        <v>0</v>
      </c>
      <c r="F20" s="2" t="n">
        <v>32</v>
      </c>
      <c r="G20" s="2" t="n">
        <v>182209937.5</v>
      </c>
      <c r="H20" s="2" t="n">
        <v>7565090.4</v>
      </c>
      <c r="I20" s="2" t="n">
        <v>5999844</v>
      </c>
      <c r="J20" s="2" t="n">
        <v>0</v>
      </c>
      <c r="K20" s="2" t="n">
        <v>168645003.1</v>
      </c>
    </row>
    <row r="21">
      <c r="A21" s="2" t="inlineStr">
        <is>
          <t>acct_05</t>
        </is>
      </c>
      <c r="B21" s="2" t="n">
        <v>28</v>
      </c>
      <c r="C21" s="2" t="n">
        <v>1</v>
      </c>
      <c r="D21" s="2" t="n">
        <v>1</v>
      </c>
      <c r="E21" s="2" t="n">
        <v>0</v>
      </c>
      <c r="F21" s="2" t="n">
        <v>26</v>
      </c>
      <c r="G21" s="2" t="n">
        <v>126976411.51</v>
      </c>
      <c r="H21" s="2" t="n">
        <v>5236533</v>
      </c>
      <c r="I21" s="2" t="n">
        <v>7007826</v>
      </c>
      <c r="J21" s="2" t="n">
        <v>0</v>
      </c>
      <c r="K21" s="2" t="n">
        <v>114732052.51</v>
      </c>
    </row>
    <row r="22">
      <c r="A22" s="2" t="inlineStr">
        <is>
          <t>acct_06</t>
        </is>
      </c>
      <c r="B22" s="2" t="n">
        <v>23</v>
      </c>
      <c r="C22" s="2" t="n">
        <v>0</v>
      </c>
      <c r="D22" s="2" t="n">
        <v>0</v>
      </c>
      <c r="E22" s="2" t="n">
        <v>1</v>
      </c>
      <c r="F22" s="2" t="n">
        <v>22</v>
      </c>
      <c r="G22" s="2" t="n">
        <v>103361768.3</v>
      </c>
      <c r="H22" s="2" t="n">
        <v>0</v>
      </c>
      <c r="I22" s="2" t="n">
        <v>0</v>
      </c>
      <c r="J22" s="2" t="n">
        <v>2952096</v>
      </c>
      <c r="K22" s="2" t="n">
        <v>100409672.3</v>
      </c>
    </row>
    <row r="23">
      <c r="A23" s="2" t="inlineStr">
        <is>
          <t>acct_07</t>
        </is>
      </c>
      <c r="B23" s="2" t="n">
        <v>25</v>
      </c>
      <c r="C23" s="2" t="n">
        <v>1</v>
      </c>
      <c r="D23" s="2" t="n">
        <v>0</v>
      </c>
      <c r="E23" s="2" t="n">
        <v>0</v>
      </c>
      <c r="F23" s="2" t="n">
        <v>24</v>
      </c>
      <c r="G23" s="2" t="n">
        <v>72479883.09999999</v>
      </c>
      <c r="H23" s="2" t="n">
        <v>4987536</v>
      </c>
      <c r="I23" s="2" t="n">
        <v>0</v>
      </c>
      <c r="J23" s="2" t="n">
        <v>0</v>
      </c>
      <c r="K23" s="2" t="n">
        <v>67492347.09999999</v>
      </c>
    </row>
    <row r="24">
      <c r="A24" s="2" t="inlineStr">
        <is>
          <t>acct_08</t>
        </is>
      </c>
      <c r="B24" s="2" t="n">
        <v>4</v>
      </c>
      <c r="C24" s="2" t="n">
        <v>0</v>
      </c>
      <c r="D24" s="2" t="n">
        <v>0</v>
      </c>
      <c r="E24" s="2" t="n">
        <v>0</v>
      </c>
      <c r="F24" s="2" t="n">
        <v>4</v>
      </c>
      <c r="G24" s="2" t="n">
        <v>53760000</v>
      </c>
      <c r="H24" s="2" t="n">
        <v>0</v>
      </c>
      <c r="I24" s="2" t="n">
        <v>0</v>
      </c>
      <c r="J24" s="2" t="n">
        <v>0</v>
      </c>
      <c r="K24" s="2" t="n">
        <v>53760000</v>
      </c>
    </row>
    <row r="25">
      <c r="A25" s="2" t="inlineStr">
        <is>
          <t>acct_09</t>
        </is>
      </c>
      <c r="B25" s="2" t="n">
        <v>31</v>
      </c>
      <c r="C25" s="2" t="n">
        <v>1</v>
      </c>
      <c r="D25" s="2" t="n">
        <v>0</v>
      </c>
      <c r="E25" s="2" t="n">
        <v>0</v>
      </c>
      <c r="F25" s="2" t="n">
        <v>30</v>
      </c>
      <c r="G25" s="2" t="n">
        <v>139868065.2</v>
      </c>
      <c r="H25" s="2" t="n">
        <v>4838434</v>
      </c>
      <c r="I25" s="2" t="n">
        <v>0</v>
      </c>
      <c r="J25" s="2" t="n">
        <v>0</v>
      </c>
      <c r="K25" s="2" t="n">
        <v>135029631.2</v>
      </c>
    </row>
    <row r="26">
      <c r="A26" s="2" t="inlineStr">
        <is>
          <t>acct_10</t>
        </is>
      </c>
      <c r="B26" s="2" t="n">
        <v>34</v>
      </c>
      <c r="C26" s="2" t="n">
        <v>1</v>
      </c>
      <c r="D26" s="2" t="n">
        <v>0</v>
      </c>
      <c r="E26" s="2" t="n">
        <v>1</v>
      </c>
      <c r="F26" s="2" t="n">
        <v>32</v>
      </c>
      <c r="G26" s="2" t="n">
        <v>118137938.24</v>
      </c>
      <c r="H26" s="2" t="n">
        <v>2613954</v>
      </c>
      <c r="I26" s="2" t="n">
        <v>0</v>
      </c>
      <c r="J26" s="2" t="n">
        <v>6221891</v>
      </c>
      <c r="K26" s="2" t="n">
        <v>109302093.24</v>
      </c>
    </row>
    <row r="27">
      <c r="A27" s="2" t="inlineStr">
        <is>
          <t>合计</t>
        </is>
      </c>
      <c r="B27" s="2" t="n">
        <v>295</v>
      </c>
      <c r="C27" s="2" t="n">
        <v>6</v>
      </c>
      <c r="D27" s="2" t="n">
        <v>5</v>
      </c>
      <c r="E27" s="2" t="n">
        <v>4</v>
      </c>
      <c r="F27" s="2" t="n">
        <v>280</v>
      </c>
      <c r="G27" s="2" t="n">
        <v>1357825148.26</v>
      </c>
      <c r="H27" s="2" t="n">
        <v>25774234.5</v>
      </c>
      <c r="I27" s="2" t="n">
        <v>25142250</v>
      </c>
      <c r="J27" s="2" t="n">
        <v>11554917.4</v>
      </c>
      <c r="K27" s="2" t="n">
        <v>1295353746.36</v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1" t="inlineStr">
        <is>
          <t>块3 行情关联与过滤留痕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3" t="inlineStr">
        <is>
          <t>项目</t>
        </is>
      </c>
      <c r="B30" s="3" t="inlineStr">
        <is>
          <t>数值</t>
        </is>
      </c>
      <c r="C30" s="3" t="inlineStr">
        <is>
          <t>说明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2" t="inlineStr">
        <is>
          <t>行情主件 valuation/price_feed_20260930.csv 记录数</t>
        </is>
      </c>
      <c r="B31" s="2" t="n">
        <v>0</v>
      </c>
      <c r="C31" s="2" t="inlineStr">
        <is>
          <t>空文件（传输残留，ops 邮件）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inlineStr">
        <is>
          <t>行情重推件 data/price_feed_20260930_repush.csv 记录数</t>
        </is>
      </c>
      <c r="B32" s="2" t="n">
        <v>131</v>
      </c>
      <c r="C32" s="2" t="inlineStr">
        <is>
          <t>含估值日与前一日两批次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inlineStr">
        <is>
          <t>过滤条件 trade_date=2026-09-30 后记录数</t>
        </is>
      </c>
      <c r="B33" s="2" t="n">
        <v>126</v>
      </c>
      <c r="C33" s="2" t="inlineStr">
        <is>
          <t>证券 126 只，批次=重推件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inlineStr">
        <is>
          <t>关联字段</t>
        </is>
      </c>
      <c r="B34" s="2" t="inlineStr">
        <is>
          <t>sec_code = instrument_id</t>
        </is>
      </c>
      <c r="C34" s="2" t="inlineStr">
        <is>
          <t>数据字典§3；runbook 原文 wind_code 已过时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inlineStr">
        <is>
          <t>有效持仓行数 / 行情匹配成功行数</t>
        </is>
      </c>
      <c r="B35" s="2" t="inlineStr">
        <is>
          <t>280 / 280</t>
        </is>
      </c>
      <c r="C35" s="2" t="inlineStr">
        <is>
          <t>未匹配 0 行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inlineStr">
        <is>
          <t>行情有价、持仓无（有效口径）证券数</t>
        </is>
      </c>
      <c r="B36" s="2" t="n">
        <v>6</v>
      </c>
      <c r="C36" s="2" t="inlineStr">
        <is>
          <t>全部为主数据非 active（matured/called）证券，已按 2.2 剔除，属对账差异表留痕项（runbook 3.4）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1" t="inlineStr">
        <is>
          <t>块4 持仓工作簿其他 sheet（共 13 个 sheet = 10 账户表 + 3 说明表）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3" t="inlineStr">
        <is>
          <t>工作簿其他 sheet</t>
        </is>
      </c>
      <c r="B39" s="3" t="inlineStr">
        <is>
          <t>处理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2" t="inlineStr">
        <is>
          <t>readme</t>
        </is>
      </c>
      <c r="B40" s="2" t="inlineStr">
        <is>
          <t>说明/归档表，非持仓数据，不计入账户覆盖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q2_roll</t>
        </is>
      </c>
      <c r="B41" s="2" t="inlineStr">
        <is>
          <t>说明/归档表，非持仓数据，不计入账户覆盖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inlineStr">
        <is>
          <t>contact</t>
        </is>
      </c>
      <c r="B42" s="2" t="inlineStr">
        <is>
          <t>说明/归档表，非持仓数据，不计入账户覆盖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23.1" customWidth="1" min="2" max="2"/>
    <col width="10" customWidth="1" min="3" max="3"/>
    <col width="13.2" customWidth="1" min="4" max="4"/>
    <col width="13.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块1 券种汇总（有效口径，分母=资产净值 1,342,513,971.39 元；基准权重引自 data/benchmark_weights_2026Q3.csv）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sec_type</t>
        </is>
      </c>
      <c r="B2" s="3" t="inlineStr">
        <is>
          <t>券种名称</t>
        </is>
      </c>
      <c r="C2" s="3" t="inlineStr">
        <is>
          <t>证券只数</t>
        </is>
      </c>
      <c r="D2" s="3" t="inlineStr">
        <is>
          <t>有效行数</t>
        </is>
      </c>
      <c r="E2" s="3" t="inlineStr">
        <is>
          <t>有效市值</t>
        </is>
      </c>
      <c r="F2" s="3" t="inlineStr">
        <is>
          <t>占净值比</t>
        </is>
      </c>
      <c r="G2" s="3" t="inlineStr">
        <is>
          <t>基准权重</t>
        </is>
      </c>
      <c r="H2" s="3" t="inlineStr">
        <is>
          <t>偏离（pp）</t>
        </is>
      </c>
    </row>
    <row r="3">
      <c r="A3" s="2" t="inlineStr">
        <is>
          <t>CreditBond</t>
        </is>
      </c>
      <c r="B3" s="2" t="inlineStr">
        <is>
          <t>中期票据</t>
        </is>
      </c>
      <c r="C3" s="2" t="n">
        <v>42</v>
      </c>
      <c r="D3" s="2" t="n">
        <v>113</v>
      </c>
      <c r="E3" s="2" t="n">
        <v>507956942.5</v>
      </c>
      <c r="F3" s="2" t="inlineStr">
        <is>
          <t>37.84%</t>
        </is>
      </c>
      <c r="G3" s="2" t="inlineStr">
        <is>
          <t>30.00%</t>
        </is>
      </c>
      <c r="H3" s="2" t="n">
        <v>7.84</v>
      </c>
    </row>
    <row r="4">
      <c r="A4" s="2" t="inlineStr">
        <is>
          <t>PolicyBankBond</t>
        </is>
      </c>
      <c r="B4" s="2" t="inlineStr">
        <is>
          <t>政策性金融债</t>
        </is>
      </c>
      <c r="C4" s="2" t="n">
        <v>23</v>
      </c>
      <c r="D4" s="2" t="n">
        <v>66</v>
      </c>
      <c r="E4" s="2" t="n">
        <v>306901663.1</v>
      </c>
      <c r="F4" s="2" t="inlineStr">
        <is>
          <t>22.86%</t>
        </is>
      </c>
      <c r="G4" s="2" t="inlineStr">
        <is>
          <t>22.00%</t>
        </is>
      </c>
      <c r="H4" s="2" t="n">
        <v>0.86</v>
      </c>
    </row>
    <row r="5">
      <c r="A5" s="2" t="inlineStr">
        <is>
          <t>InterbankCD</t>
        </is>
      </c>
      <c r="B5" s="2" t="inlineStr">
        <is>
          <t>同业存单</t>
        </is>
      </c>
      <c r="C5" s="2" t="n">
        <v>12</v>
      </c>
      <c r="D5" s="2" t="n">
        <v>30</v>
      </c>
      <c r="E5" s="2" t="n">
        <v>134059767.06</v>
      </c>
      <c r="F5" s="2" t="inlineStr">
        <is>
          <t>9.99%</t>
        </is>
      </c>
      <c r="G5" s="2" t="inlineStr">
        <is>
          <t>12.00%</t>
        </is>
      </c>
      <c r="H5" s="2" t="n">
        <v>-2.01</v>
      </c>
    </row>
    <row r="6">
      <c r="A6" s="2" t="inlineStr">
        <is>
          <t>GovtBond</t>
        </is>
      </c>
      <c r="B6" s="2" t="inlineStr">
        <is>
          <t>国债</t>
        </is>
      </c>
      <c r="C6" s="2" t="n">
        <v>16</v>
      </c>
      <c r="D6" s="2" t="n">
        <v>22</v>
      </c>
      <c r="E6" s="2" t="n">
        <v>122895903</v>
      </c>
      <c r="F6" s="2" t="inlineStr">
        <is>
          <t>9.15%</t>
        </is>
      </c>
      <c r="G6" s="2" t="inlineStr">
        <is>
          <t>18.00%</t>
        </is>
      </c>
      <c r="H6" s="2" t="n">
        <v>-8.85</v>
      </c>
    </row>
    <row r="7">
      <c r="A7" s="2" t="inlineStr">
        <is>
          <t>EquityFund</t>
        </is>
      </c>
      <c r="B7" s="2" t="inlineStr">
        <is>
          <t>权益型指数基金</t>
        </is>
      </c>
      <c r="C7" s="2" t="n">
        <v>12</v>
      </c>
      <c r="D7" s="2" t="n">
        <v>23</v>
      </c>
      <c r="E7" s="2" t="n">
        <v>102478344</v>
      </c>
      <c r="F7" s="2" t="inlineStr">
        <is>
          <t>7.63%</t>
        </is>
      </c>
      <c r="G7" s="2" t="inlineStr">
        <is>
          <t>10.00%</t>
        </is>
      </c>
      <c r="H7" s="2" t="n">
        <v>-2.37</v>
      </c>
    </row>
    <row r="8">
      <c r="A8" s="2" t="inlineStr">
        <is>
          <t>ConvertBond</t>
        </is>
      </c>
      <c r="B8" s="2" t="inlineStr">
        <is>
          <t>可转换债</t>
        </is>
      </c>
      <c r="C8" s="2" t="n">
        <v>11</v>
      </c>
      <c r="D8" s="2" t="n">
        <v>21</v>
      </c>
      <c r="E8" s="2" t="n">
        <v>60641126.7</v>
      </c>
      <c r="F8" s="2" t="inlineStr">
        <is>
          <t>4.52%</t>
        </is>
      </c>
      <c r="G8" s="2" t="inlineStr">
        <is>
          <t>5.00%</t>
        </is>
      </c>
      <c r="H8" s="2" t="n">
        <v>-0.48</v>
      </c>
    </row>
    <row r="9">
      <c r="A9" s="2" t="inlineStr">
        <is>
          <t>NonStdAsset</t>
        </is>
      </c>
      <c r="B9" s="2" t="inlineStr">
        <is>
          <t>资产支持专项计划</t>
        </is>
      </c>
      <c r="C9" s="2" t="n">
        <v>4</v>
      </c>
      <c r="D9" s="2" t="n">
        <v>5</v>
      </c>
      <c r="E9" s="2" t="n">
        <v>60420000</v>
      </c>
      <c r="F9" s="2" t="inlineStr">
        <is>
          <t>4.50%</t>
        </is>
      </c>
      <c r="G9" s="2" t="inlineStr">
        <is>
          <t>3.00%</t>
        </is>
      </c>
      <c r="H9" s="2" t="n">
        <v>1.5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1" t="inlineStr">
        <is>
          <t>块2 账户汇总（有效口径）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acct</t>
        </is>
      </c>
      <c r="B12" s="3" t="inlineStr">
        <is>
          <t>原始行数</t>
        </is>
      </c>
      <c r="C12" s="3" t="inlineStr">
        <is>
          <t>有效行数</t>
        </is>
      </c>
      <c r="D12" s="3" t="inlineStr">
        <is>
          <t>有效市值</t>
        </is>
      </c>
      <c r="E12" s="3" t="inlineStr">
        <is>
          <t>占净值比</t>
        </is>
      </c>
      <c r="F12" s="3" t="n"/>
      <c r="G12" s="3" t="n"/>
      <c r="H12" s="3" t="n"/>
    </row>
    <row r="13">
      <c r="A13" s="2" t="inlineStr">
        <is>
          <t>acct_01</t>
        </is>
      </c>
      <c r="B13" s="2" t="n">
        <v>42</v>
      </c>
      <c r="C13" s="2" t="n">
        <v>40</v>
      </c>
      <c r="D13" s="2" t="n">
        <v>209239044.02</v>
      </c>
      <c r="E13" s="2" t="inlineStr">
        <is>
          <t>15.59%</t>
        </is>
      </c>
      <c r="F13" s="2" t="n"/>
      <c r="G13" s="2" t="n"/>
      <c r="H13" s="2" t="n"/>
    </row>
    <row r="14">
      <c r="A14" s="2" t="inlineStr">
        <is>
          <t>acct_02</t>
        </is>
      </c>
      <c r="B14" s="2" t="n">
        <v>36</v>
      </c>
      <c r="C14" s="2" t="n">
        <v>34</v>
      </c>
      <c r="D14" s="2" t="n">
        <v>155264324.09</v>
      </c>
      <c r="E14" s="2" t="inlineStr">
        <is>
          <t>11.57%</t>
        </is>
      </c>
      <c r="F14" s="2" t="n"/>
      <c r="G14" s="2" t="n"/>
      <c r="H14" s="2" t="n"/>
    </row>
    <row r="15">
      <c r="A15" s="2" t="inlineStr">
        <is>
          <t>acct_03</t>
        </is>
      </c>
      <c r="B15" s="2" t="n">
        <v>38</v>
      </c>
      <c r="C15" s="2" t="n">
        <v>36</v>
      </c>
      <c r="D15" s="2" t="n">
        <v>181479578.8</v>
      </c>
      <c r="E15" s="2" t="inlineStr">
        <is>
          <t>13.52%</t>
        </is>
      </c>
      <c r="F15" s="2" t="n"/>
      <c r="G15" s="2" t="n"/>
      <c r="H15" s="2" t="n"/>
    </row>
    <row r="16">
      <c r="A16" s="2" t="inlineStr">
        <is>
          <t>acct_04</t>
        </is>
      </c>
      <c r="B16" s="2" t="n">
        <v>34</v>
      </c>
      <c r="C16" s="2" t="n">
        <v>32</v>
      </c>
      <c r="D16" s="2" t="n">
        <v>168645003.1</v>
      </c>
      <c r="E16" s="2" t="inlineStr">
        <is>
          <t>12.56%</t>
        </is>
      </c>
      <c r="F16" s="2" t="n"/>
      <c r="G16" s="2" t="n"/>
      <c r="H16" s="2" t="n"/>
    </row>
    <row r="17">
      <c r="A17" s="2" t="inlineStr">
        <is>
          <t>acct_05</t>
        </is>
      </c>
      <c r="B17" s="2" t="n">
        <v>28</v>
      </c>
      <c r="C17" s="2" t="n">
        <v>26</v>
      </c>
      <c r="D17" s="2" t="n">
        <v>114732052.51</v>
      </c>
      <c r="E17" s="2" t="inlineStr">
        <is>
          <t>8.55%</t>
        </is>
      </c>
      <c r="F17" s="2" t="n"/>
      <c r="G17" s="2" t="n"/>
      <c r="H17" s="2" t="n"/>
    </row>
    <row r="18">
      <c r="A18" s="2" t="inlineStr">
        <is>
          <t>acct_06</t>
        </is>
      </c>
      <c r="B18" s="2" t="n">
        <v>23</v>
      </c>
      <c r="C18" s="2" t="n">
        <v>22</v>
      </c>
      <c r="D18" s="2" t="n">
        <v>100409672.3</v>
      </c>
      <c r="E18" s="2" t="inlineStr">
        <is>
          <t>7.48%</t>
        </is>
      </c>
      <c r="F18" s="2" t="n"/>
      <c r="G18" s="2" t="n"/>
      <c r="H18" s="2" t="n"/>
    </row>
    <row r="19">
      <c r="A19" s="2" t="inlineStr">
        <is>
          <t>acct_07</t>
        </is>
      </c>
      <c r="B19" s="2" t="n">
        <v>25</v>
      </c>
      <c r="C19" s="2" t="n">
        <v>24</v>
      </c>
      <c r="D19" s="2" t="n">
        <v>67492347.09999999</v>
      </c>
      <c r="E19" s="2" t="inlineStr">
        <is>
          <t>5.03%</t>
        </is>
      </c>
      <c r="F19" s="2" t="n"/>
      <c r="G19" s="2" t="n"/>
      <c r="H19" s="2" t="n"/>
    </row>
    <row r="20">
      <c r="A20" s="2" t="inlineStr">
        <is>
          <t>acct_08</t>
        </is>
      </c>
      <c r="B20" s="2" t="n">
        <v>4</v>
      </c>
      <c r="C20" s="2" t="n">
        <v>4</v>
      </c>
      <c r="D20" s="2" t="n">
        <v>53760000</v>
      </c>
      <c r="E20" s="2" t="inlineStr">
        <is>
          <t>4.00%</t>
        </is>
      </c>
      <c r="F20" s="2" t="n"/>
      <c r="G20" s="2" t="n"/>
      <c r="H20" s="2" t="n"/>
    </row>
    <row r="21">
      <c r="A21" s="2" t="inlineStr">
        <is>
          <t>acct_09</t>
        </is>
      </c>
      <c r="B21" s="2" t="n">
        <v>31</v>
      </c>
      <c r="C21" s="2" t="n">
        <v>30</v>
      </c>
      <c r="D21" s="2" t="n">
        <v>135029631.2</v>
      </c>
      <c r="E21" s="2" t="inlineStr">
        <is>
          <t>10.06%</t>
        </is>
      </c>
      <c r="F21" s="2" t="n"/>
      <c r="G21" s="2" t="n"/>
      <c r="H21" s="2" t="n"/>
    </row>
    <row r="22">
      <c r="A22" s="2" t="inlineStr">
        <is>
          <t>acct_10</t>
        </is>
      </c>
      <c r="B22" s="2" t="n">
        <v>34</v>
      </c>
      <c r="C22" s="2" t="n">
        <v>32</v>
      </c>
      <c r="D22" s="2" t="n">
        <v>109302093.24</v>
      </c>
      <c r="E22" s="2" t="inlineStr">
        <is>
          <t>8.14%</t>
        </is>
      </c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1" t="inlineStr">
        <is>
          <t>块3 前五大单一证券（按有效市值）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3" t="inlineStr">
        <is>
          <t>sec_code</t>
        </is>
      </c>
      <c r="B25" s="3" t="inlineStr">
        <is>
          <t>证券名称</t>
        </is>
      </c>
      <c r="C25" s="3" t="inlineStr">
        <is>
          <t>发行人</t>
        </is>
      </c>
      <c r="D25" s="3" t="inlineStr">
        <is>
          <t>有效市值</t>
        </is>
      </c>
      <c r="E25" s="3" t="inlineStr">
        <is>
          <t>占净值比</t>
        </is>
      </c>
      <c r="F25" s="3" t="n"/>
      <c r="G25" s="3" t="n"/>
      <c r="H25" s="3" t="n"/>
    </row>
    <row r="26">
      <c r="A26" s="2" t="inlineStr">
        <is>
          <t>102600003.IB</t>
        </is>
      </c>
      <c r="B26" s="2" t="inlineStr">
        <is>
          <t>华骏集团2026年第3期中期票据</t>
        </is>
      </c>
      <c r="C26" s="2" t="inlineStr">
        <is>
          <t>华骏集团</t>
        </is>
      </c>
      <c r="D26" s="2" t="n">
        <v>161214619.6</v>
      </c>
      <c r="E26" s="2" t="inlineStr">
        <is>
          <t>12.01%</t>
        </is>
      </c>
      <c r="F26" s="2" t="n"/>
      <c r="G26" s="2" t="n"/>
      <c r="H26" s="2" t="n"/>
    </row>
    <row r="27">
      <c r="A27" s="2" t="inlineStr">
        <is>
          <t>260013.IB</t>
        </is>
      </c>
      <c r="B27" s="2" t="inlineStr">
        <is>
          <t>国家开发银行2026年第13期政策性金融债</t>
        </is>
      </c>
      <c r="C27" s="2" t="inlineStr">
        <is>
          <t>国家开发银行</t>
        </is>
      </c>
      <c r="D27" s="2" t="n">
        <v>26460787.1</v>
      </c>
      <c r="E27" s="2" t="inlineStr">
        <is>
          <t>1.97%</t>
        </is>
      </c>
      <c r="F27" s="2" t="n"/>
      <c r="G27" s="2" t="n"/>
      <c r="H27" s="2" t="n"/>
    </row>
    <row r="28">
      <c r="A28" s="2" t="inlineStr">
        <is>
          <t>ZQ260002</t>
        </is>
      </c>
      <c r="B28" s="2" t="inlineStr">
        <is>
          <t>鼎信供应链2026年第2期资产支持专项计划</t>
        </is>
      </c>
      <c r="C28" s="2" t="inlineStr">
        <is>
          <t>鼎信供应链</t>
        </is>
      </c>
      <c r="D28" s="2" t="n">
        <v>24620000</v>
      </c>
      <c r="E28" s="2" t="inlineStr">
        <is>
          <t>1.83%</t>
        </is>
      </c>
      <c r="F28" s="2" t="n"/>
      <c r="G28" s="2" t="n"/>
      <c r="H28" s="2" t="n"/>
    </row>
    <row r="29">
      <c r="A29" s="2" t="inlineStr">
        <is>
          <t>102600030.IB</t>
        </is>
      </c>
      <c r="B29" s="2" t="inlineStr">
        <is>
          <t>宏图置业2026年第30期中期票据</t>
        </is>
      </c>
      <c r="C29" s="2" t="inlineStr">
        <is>
          <t>宏图置业</t>
        </is>
      </c>
      <c r="D29" s="2" t="n">
        <v>23299548.9</v>
      </c>
      <c r="E29" s="2" t="inlineStr">
        <is>
          <t>1.74%</t>
        </is>
      </c>
      <c r="F29" s="2" t="n"/>
      <c r="G29" s="2" t="n"/>
      <c r="H29" s="2" t="n"/>
    </row>
    <row r="30">
      <c r="A30" s="2" t="inlineStr">
        <is>
          <t>102600004.IB</t>
        </is>
      </c>
      <c r="B30" s="2" t="inlineStr">
        <is>
          <t>瑞泽控股2026年第4期中期票据</t>
        </is>
      </c>
      <c r="C30" s="2" t="inlineStr">
        <is>
          <t>瑞泽控股</t>
        </is>
      </c>
      <c r="D30" s="2" t="n">
        <v>22718300.9</v>
      </c>
      <c r="E30" s="2" t="inlineStr">
        <is>
          <t>1.69%</t>
        </is>
      </c>
      <c r="F30" s="2" t="n"/>
      <c r="G30" s="2" t="n"/>
      <c r="H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.40000000000001" customWidth="1" min="1" max="1"/>
    <col width="22" customWidth="1" min="2" max="2"/>
    <col width="24.2" customWidth="1" min="3" max="3"/>
    <col width="60" customWidth="1" min="4" max="4"/>
    <col width="60" customWidth="1" min="5" max="5"/>
  </cols>
  <sheetData>
    <row r="1">
      <c r="A1" s="1" t="inlineStr">
        <is>
          <t>净值复核推导链（估值日 2026-09-30，单位：元；G=E÷F，差额以 bp 表示）</t>
        </is>
      </c>
      <c r="B1" s="2" t="n"/>
      <c r="C1" s="2" t="n"/>
      <c r="D1" s="2" t="n"/>
      <c r="E1" s="2" t="n"/>
    </row>
    <row r="2">
      <c r="A2" s="3" t="inlineStr">
        <is>
          <t>步骤</t>
        </is>
      </c>
      <c r="B2" s="3" t="inlineStr">
        <is>
          <t>项目</t>
        </is>
      </c>
      <c r="C2" s="3" t="inlineStr">
        <is>
          <t>列报/推导值</t>
        </is>
      </c>
      <c r="D2" s="3" t="inlineStr">
        <is>
          <t>来源文件</t>
        </is>
      </c>
      <c r="E2" s="3" t="inlineStr">
        <is>
          <t>算式与口径说明</t>
        </is>
      </c>
    </row>
    <row r="3">
      <c r="A3" s="2" t="inlineStr">
        <is>
          <t>A</t>
        </is>
      </c>
      <c r="B3" s="2" t="inlineStr">
        <is>
          <t>有效持仓市值（有效口径 280 行重算）</t>
        </is>
      </c>
      <c r="C3" s="2" t="n">
        <v>1295353746.36</v>
      </c>
      <c r="D3" s="2" t="inlineStr">
        <is>
          <t>portfolio/holdings_2026Q3.xlsx + data/price_feed_20260930_repush.csv</t>
        </is>
      </c>
      <c r="E3" s="2" t="inlineStr">
        <is>
          <t>债券/非标 vol×close_price/100；权益基金 vol×close_price（数据字典§2）</t>
        </is>
      </c>
    </row>
    <row r="4">
      <c r="A4" s="2" t="inlineStr">
        <is>
          <t>B</t>
        </is>
      </c>
      <c r="B4" s="2" t="inlineStr">
        <is>
          <t>现金及清算备付金（列报值）</t>
        </is>
      </c>
      <c r="C4" s="2" t="n">
        <v>45645475.03</v>
      </c>
      <c r="D4" s="2" t="inlineStr">
        <is>
          <t>valuation/nav_report_20260930.csv</t>
        </is>
      </c>
      <c r="E4" s="2" t="inlineStr">
        <is>
          <t>托管行报告为准</t>
        </is>
      </c>
    </row>
    <row r="5">
      <c r="A5" s="2" t="inlineStr">
        <is>
          <t>C1</t>
        </is>
      </c>
      <c r="B5" s="2" t="inlineStr">
        <is>
          <t>应收-应收利息（列报值）</t>
        </is>
      </c>
      <c r="C5" s="2" t="n">
        <v>3412800</v>
      </c>
      <c r="D5" s="2" t="inlineStr">
        <is>
          <t>valuation/accruals_20260930.csv</t>
        </is>
      </c>
      <c r="E5" s="2" t="inlineStr">
        <is>
          <t>2026-07-01~2026-09-30</t>
        </is>
      </c>
    </row>
    <row r="6">
      <c r="A6" s="2" t="inlineStr">
        <is>
          <t>C2</t>
        </is>
      </c>
      <c r="B6" s="2" t="inlineStr">
        <is>
          <t>应收-应收红利（列报值）</t>
        </is>
      </c>
      <c r="C6" s="2" t="n">
        <v>865400</v>
      </c>
      <c r="D6" s="2" t="inlineStr">
        <is>
          <t>valuation/accruals_20260930.csv</t>
        </is>
      </c>
      <c r="E6" s="2" t="inlineStr">
        <is>
          <t>2026-07-01~2026-09-30</t>
        </is>
      </c>
    </row>
    <row r="7">
      <c r="A7" s="2" t="inlineStr">
        <is>
          <t>C</t>
        </is>
      </c>
      <c r="B7" s="2" t="inlineStr">
        <is>
          <t>应收合计 C1+C2</t>
        </is>
      </c>
      <c r="C7" s="2" t="n">
        <v>4278200</v>
      </c>
      <c r="D7" s="2" t="inlineStr">
        <is>
          <t>计提明细加总</t>
        </is>
      </c>
      <c r="E7" s="2" t="inlineStr">
        <is>
          <t>3,412,800.00 + 865,400.00 = 4,278,200.00</t>
        </is>
      </c>
    </row>
    <row r="8">
      <c r="A8" s="2" t="inlineStr">
        <is>
          <t>D1</t>
        </is>
      </c>
      <c r="B8" s="2" t="inlineStr">
        <is>
          <t>应付-应付管理人报酬（列报值）</t>
        </is>
      </c>
      <c r="C8" s="2" t="n">
        <v>1842300</v>
      </c>
      <c r="D8" s="2" t="inlineStr">
        <is>
          <t>valuation/accruals_20260930.csv</t>
        </is>
      </c>
      <c r="E8" s="2" t="inlineStr">
        <is>
          <t>2026-07-01~2026-09-30</t>
        </is>
      </c>
    </row>
    <row r="9">
      <c r="A9" s="2" t="inlineStr">
        <is>
          <t>D2</t>
        </is>
      </c>
      <c r="B9" s="2" t="inlineStr">
        <is>
          <t>应付-应付托管费（列报值）</t>
        </is>
      </c>
      <c r="C9" s="2" t="n">
        <v>614100</v>
      </c>
      <c r="D9" s="2" t="inlineStr">
        <is>
          <t>valuation/accruals_20260930.csv</t>
        </is>
      </c>
      <c r="E9" s="2" t="inlineStr">
        <is>
          <t>2026-07-01~2026-09-30</t>
        </is>
      </c>
    </row>
    <row r="10">
      <c r="A10" s="2" t="inlineStr">
        <is>
          <t>D3</t>
        </is>
      </c>
      <c r="B10" s="2" t="inlineStr">
        <is>
          <t>应付-应付销售服务费（列报值）</t>
        </is>
      </c>
      <c r="C10" s="2" t="n">
        <v>307050</v>
      </c>
      <c r="D10" s="2" t="inlineStr">
        <is>
          <t>valuation/accruals_20260930.csv</t>
        </is>
      </c>
      <c r="E10" s="2" t="inlineStr">
        <is>
          <t>2026-07-01~2026-09-30</t>
        </is>
      </c>
    </row>
    <row r="11">
      <c r="A11" s="2" t="inlineStr">
        <is>
          <t>D</t>
        </is>
      </c>
      <c r="B11" s="2" t="inlineStr">
        <is>
          <t>应付合计 D1+D2+D3</t>
        </is>
      </c>
      <c r="C11" s="2" t="n">
        <v>2763450</v>
      </c>
      <c r="D11" s="2" t="inlineStr">
        <is>
          <t>计提明细加总</t>
        </is>
      </c>
      <c r="E11" s="2" t="inlineStr">
        <is>
          <t>1,842,300.00 + 614,100.00 + 307,050.00 = 2,763,450.00</t>
        </is>
      </c>
    </row>
    <row r="12">
      <c r="A12" s="2" t="inlineStr">
        <is>
          <t>E</t>
        </is>
      </c>
      <c r="B12" s="2" t="inlineStr">
        <is>
          <t>资产净值 E=A+B+C−D</t>
        </is>
      </c>
      <c r="C12" s="2" t="n">
        <v>1342513971.39</v>
      </c>
      <c r="D12" s="2" t="inlineStr">
        <is>
          <t>复算值</t>
        </is>
      </c>
      <c r="E12" s="2" t="inlineStr">
        <is>
          <t>1,295,353,746.36 + 45,645,475.03 + 4,278,200.00 − 2,763,450.00 = 1,342,513,971.39</t>
        </is>
      </c>
    </row>
    <row r="13">
      <c r="A13" s="2" t="inlineStr">
        <is>
          <t>F</t>
        </is>
      </c>
      <c r="B13" s="2" t="inlineStr">
        <is>
          <t>计划总份额（列报值）</t>
        </is>
      </c>
      <c r="C13" s="2" t="n">
        <v>1250000000</v>
      </c>
      <c r="D13" s="2" t="inlineStr">
        <is>
          <t>valuation/nav_report_20260930.csv</t>
        </is>
      </c>
      <c r="E13" s="2" t="inlineStr">
        <is>
          <t>托管行报告为准</t>
        </is>
      </c>
    </row>
    <row r="14">
      <c r="A14" s="2" t="inlineStr">
        <is>
          <t>G</t>
        </is>
      </c>
      <c r="B14" s="2" t="inlineStr">
        <is>
          <t>单位净值 G=E÷F（复算值）</t>
        </is>
      </c>
      <c r="C14" s="2" t="n">
        <v>1.074011177112</v>
      </c>
      <c r="D14" s="2" t="inlineStr">
        <is>
          <t>复算值</t>
        </is>
      </c>
      <c r="E14" s="2" t="inlineStr">
        <is>
          <t>1,342,513,971.39 ÷ 1,250,000,000.00 = 1.074011</t>
        </is>
      </c>
    </row>
    <row r="15">
      <c r="A15" s="2" t="inlineStr">
        <is>
          <t>H</t>
        </is>
      </c>
      <c r="B15" s="2" t="inlineStr">
        <is>
          <t>托管行单位净值（列报值）</t>
        </is>
      </c>
      <c r="C15" s="2" t="n">
        <v>1.074</v>
      </c>
      <c r="D15" s="2" t="inlineStr">
        <is>
          <t>valuation/nav_report_20260930.csv</t>
        </is>
      </c>
      <c r="E15" s="2" t="inlineStr">
        <is>
          <t>nav_per_share</t>
        </is>
      </c>
    </row>
    <row r="16">
      <c r="A16" s="2" t="inlineStr">
        <is>
          <t>I</t>
        </is>
      </c>
      <c r="B16" s="2" t="inlineStr">
        <is>
          <t>差额 I=G−H（基点）</t>
        </is>
      </c>
      <c r="C16" s="2" t="n">
        <v>0.1117711199993821</v>
      </c>
      <c r="D16" s="2" t="inlineStr">
        <is>
          <t>复算值</t>
        </is>
      </c>
      <c r="E16" s="2" t="inlineStr">
        <is>
          <t>(1.074011 − 1.0740) × 10000 = 0.11 bp（四舍五入位级）</t>
        </is>
      </c>
    </row>
    <row r="17">
      <c r="A17" s="2" t="inlineStr">
        <is>
          <t>J</t>
        </is>
      </c>
      <c r="B17" s="2" t="inlineStr">
        <is>
          <t>托管行资产净值（列报值）</t>
        </is>
      </c>
      <c r="C17" s="2" t="n">
        <v>1342513971.39</v>
      </c>
      <c r="D17" s="2" t="inlineStr">
        <is>
          <t>valuation/nav_report_20260930.csv</t>
        </is>
      </c>
      <c r="E17" s="2" t="inlineStr">
        <is>
          <t>total_nav</t>
        </is>
      </c>
    </row>
    <row r="18">
      <c r="A18" s="2" t="inlineStr">
        <is>
          <t>K</t>
        </is>
      </c>
      <c r="B18" s="2" t="inlineStr">
        <is>
          <t>资产净值差额 K=E−J（元）</t>
        </is>
      </c>
      <c r="C18" s="2" t="n">
        <v>-2.384185791015625e-07</v>
      </c>
      <c r="D18" s="2" t="inlineStr">
        <is>
          <t>复算值</t>
        </is>
      </c>
      <c r="E18" s="2" t="inlineStr">
        <is>
          <t>1,342,513,971.39 − 1,342,513,971.39 = -0.00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7.2" customWidth="1" min="1" max="1"/>
    <col width="19.8" customWidth="1" min="2" max="2"/>
    <col width="60" customWidth="1" min="3" max="3"/>
    <col width="11" customWidth="1" min="4" max="4"/>
    <col width="49.50000000000001" customWidth="1" min="5" max="5"/>
  </cols>
  <sheetData>
    <row r="1">
      <c r="A1" s="1" t="inlineStr">
        <is>
          <t>块1 现金勾稽（银行对账单分账户 → 合计 → 与托管报告差额）</t>
        </is>
      </c>
      <c r="B1" s="2" t="n"/>
      <c r="C1" s="2" t="n"/>
      <c r="D1" s="2" t="n"/>
      <c r="E1" s="2" t="n"/>
    </row>
    <row r="2">
      <c r="A2" s="3" t="inlineStr">
        <is>
          <t>账户</t>
        </is>
      </c>
      <c r="B2" s="3" t="inlineStr">
        <is>
          <t>名称</t>
        </is>
      </c>
      <c r="C2" s="3" t="inlineStr">
        <is>
          <t>金额（元）</t>
        </is>
      </c>
      <c r="D2" s="3" t="inlineStr">
        <is>
          <t>as_of</t>
        </is>
      </c>
      <c r="E2" s="3" t="inlineStr">
        <is>
          <t>来源/算式</t>
        </is>
      </c>
    </row>
    <row r="3">
      <c r="A3" s="2" t="inlineStr">
        <is>
          <t>6220****1188</t>
        </is>
      </c>
      <c r="B3" s="2" t="inlineStr">
        <is>
          <t>托管存款专户</t>
        </is>
      </c>
      <c r="C3" s="2" t="n">
        <v>32864742.02</v>
      </c>
      <c r="D3" s="2" t="inlineStr">
        <is>
          <t>2026-09-30</t>
        </is>
      </c>
      <c r="E3" s="2" t="inlineStr">
        <is>
          <t>valuation/bank_statement_20260930.csv</t>
        </is>
      </c>
    </row>
    <row r="4">
      <c r="A4" s="2" t="inlineStr">
        <is>
          <t>6220****2299</t>
        </is>
      </c>
      <c r="B4" s="2" t="inlineStr">
        <is>
          <t>清算备付金账户</t>
        </is>
      </c>
      <c r="C4" s="2" t="n">
        <v>12780733.01</v>
      </c>
      <c r="D4" s="2" t="inlineStr">
        <is>
          <t>2026-09-30</t>
        </is>
      </c>
      <c r="E4" s="2" t="inlineStr">
        <is>
          <t>valuation/bank_statement_20260930.csv</t>
        </is>
      </c>
    </row>
    <row r="5">
      <c r="A5" s="2" t="inlineStr">
        <is>
          <t>合计</t>
        </is>
      </c>
      <c r="B5" s="2" t="inlineStr">
        <is>
          <t>两账户加总</t>
        </is>
      </c>
      <c r="C5" s="2" t="n">
        <v>45645475.03</v>
      </c>
      <c r="D5" s="2" t="inlineStr">
        <is>
          <t>2026-09-30</t>
        </is>
      </c>
      <c r="E5" s="2" t="inlineStr">
        <is>
          <t>32,864,742.02 + 12,780,733.01 = 45,645,475.03</t>
        </is>
      </c>
    </row>
    <row r="6">
      <c r="A6" s="2" t="inlineStr">
        <is>
          <t>托管报告</t>
        </is>
      </c>
      <c r="B6" s="2" t="inlineStr">
        <is>
          <t>现金及清算备付金（列报值）</t>
        </is>
      </c>
      <c r="C6" s="2" t="n">
        <v>45645475.03</v>
      </c>
      <c r="D6" s="2" t="inlineStr">
        <is>
          <t>2026-09-30</t>
        </is>
      </c>
      <c r="E6" s="2" t="inlineStr">
        <is>
          <t>valuation/nav_report_20260930.csv</t>
        </is>
      </c>
    </row>
    <row r="7">
      <c r="A7" s="2" t="inlineStr">
        <is>
          <t>差额</t>
        </is>
      </c>
      <c r="B7" s="2" t="inlineStr">
        <is>
          <t>对账单合计 − 托管报告现金</t>
        </is>
      </c>
      <c r="C7" s="2" t="n">
        <v>0</v>
      </c>
      <c r="D7" s="2" t="inlineStr">
        <is>
          <t>2026-09-30</t>
        </is>
      </c>
      <c r="E7" s="2" t="inlineStr">
        <is>
          <t>45,645,475.03 − 45,645,475.03 = 0.00</t>
        </is>
      </c>
    </row>
    <row r="8">
      <c r="A8" s="2" t="n"/>
      <c r="B8" s="2" t="n"/>
      <c r="C8" s="2" t="n"/>
      <c r="D8" s="2" t="n"/>
      <c r="E8" s="2" t="n"/>
    </row>
    <row r="9">
      <c r="A9" s="1" t="inlineStr">
        <is>
          <t>块2 持仓口径调整桥（原始 → 三类剔除分列 → 有效）与未过滤口径单位净值对照</t>
        </is>
      </c>
      <c r="B9" s="2" t="n"/>
      <c r="C9" s="2" t="n"/>
      <c r="D9" s="2" t="n"/>
      <c r="E9" s="2" t="n"/>
    </row>
    <row r="10">
      <c r="A10" s="3" t="inlineStr">
        <is>
          <t>口径调整项</t>
        </is>
      </c>
      <c r="B10" s="3" t="inlineStr">
        <is>
          <t>数值</t>
        </is>
      </c>
      <c r="C10" s="3" t="inlineStr">
        <is>
          <t>算式/依据</t>
        </is>
      </c>
      <c r="D10" s="3" t="n"/>
      <c r="E10" s="3" t="n"/>
    </row>
    <row r="11">
      <c r="A11" s="2" t="inlineStr">
        <is>
          <t>原始口径持仓市值（全表合计，未按 runbook 第2章过滤）</t>
        </is>
      </c>
      <c r="B11" s="2" t="n">
        <v>1357825148.26</v>
      </c>
      <c r="C11" s="2" t="inlineStr">
        <is>
          <t>holdings 十表 295 行 × 估值日行情</t>
        </is>
      </c>
      <c r="D11" s="2" t="n"/>
      <c r="E11" s="2" t="n"/>
    </row>
    <row r="12">
      <c r="A12" s="2" t="inlineStr">
        <is>
          <t>− 剔除①估值日归属：as_of≠2026-09-30（6 行，涉及 6 个 sheet）</t>
        </is>
      </c>
      <c r="B12" s="2" t="n">
        <v>-25774234.5</v>
      </c>
      <c r="C12" s="2" t="inlineStr">
        <is>
          <t>runbook 2.1</t>
        </is>
      </c>
      <c r="D12" s="2" t="n"/>
      <c r="E12" s="2" t="n"/>
    </row>
    <row r="13">
      <c r="A13" s="2" t="inlineStr">
        <is>
          <t>− 剔除②主数据状态非 active（matured/called，5 行）</t>
        </is>
      </c>
      <c r="B13" s="2" t="n">
        <v>-25142250</v>
      </c>
      <c r="C13" s="2" t="inlineStr">
        <is>
          <t>runbook 2.2</t>
        </is>
      </c>
      <c r="D13" s="2" t="n"/>
      <c r="E13" s="2" t="n"/>
    </row>
    <row r="14">
      <c r="A14" s="2" t="inlineStr">
        <is>
          <t>− 剔除③重复上报（acct+sec_code+vol，保留 source_row_id 首条，4 行）</t>
        </is>
      </c>
      <c r="B14" s="2" t="n">
        <v>-11554917.4</v>
      </c>
      <c r="C14" s="2" t="inlineStr">
        <is>
          <t>runbook 2.3</t>
        </is>
      </c>
      <c r="D14" s="2" t="n"/>
      <c r="E14" s="2" t="n"/>
    </row>
    <row r="15">
      <c r="A15" s="2">
        <f> 有效持仓市值</f>
        <v/>
      </c>
      <c r="B15" s="2" t="n">
        <v>1295353746.36</v>
      </c>
      <c r="C15" s="2" t="inlineStr">
        <is>
          <t>1,357,825,148.26 − 25,774,234.50 − 25,142,250.00 − 11,554,917.40 = 1,295,353,746.36</t>
        </is>
      </c>
      <c r="D15" s="2" t="n"/>
      <c r="E15" s="2" t="n"/>
    </row>
    <row r="16">
      <c r="A16" s="2" t="inlineStr">
        <is>
          <t>未过滤口径资产净值（对照）</t>
        </is>
      </c>
      <c r="B16" s="2" t="n">
        <v>1404985373.29</v>
      </c>
      <c r="C16" s="2" t="inlineStr">
        <is>
          <t>1,357,825,148.26 + 45,645,475.03 + 4,278,200.00 − 2,763,450.00</t>
        </is>
      </c>
      <c r="D16" s="2" t="n"/>
      <c r="E16" s="2" t="n"/>
    </row>
    <row r="17">
      <c r="A17" s="2" t="inlineStr">
        <is>
          <t>未过滤口径单位净值（对照值）</t>
        </is>
      </c>
      <c r="B17" s="2" t="n">
        <v>1.123988298632</v>
      </c>
      <c r="C17" s="2" t="inlineStr">
        <is>
          <t>1,404,985,373.29 ÷ 1,250,000,000.00 = 1.123988</t>
        </is>
      </c>
      <c r="D17" s="2" t="n"/>
      <c r="E17" s="2" t="n"/>
    </row>
    <row r="18">
      <c r="A18" s="2" t="inlineStr">
        <is>
          <t>正确口径单位净值（复算值）</t>
        </is>
      </c>
      <c r="B18" s="2" t="n">
        <v>1.074011177112</v>
      </c>
      <c r="C18" s="2" t="inlineStr">
        <is>
          <t>1.074011（=E÷F）</t>
        </is>
      </c>
      <c r="D18" s="2" t="n"/>
      <c r="E18" s="2" t="n"/>
    </row>
    <row r="19">
      <c r="A19" s="2" t="inlineStr">
        <is>
          <t>未过滤口径相对正确口径高估（bp）</t>
        </is>
      </c>
      <c r="B19" s="2" t="n">
        <v>499.7712152</v>
      </c>
      <c r="C19" s="2" t="inlineStr">
        <is>
          <t>(1.123988 − 1.074011) × 10000 = 499.77 bp</t>
        </is>
      </c>
      <c r="D19" s="2" t="n"/>
      <c r="E19" s="2" t="n"/>
    </row>
    <row r="20">
      <c r="A20" s="2" t="inlineStr">
        <is>
          <t>未过滤口径相对托管列报单位净值高估（bp）</t>
        </is>
      </c>
      <c r="B20" s="2" t="n">
        <v>499.8829863199994</v>
      </c>
      <c r="C20" s="2" t="inlineStr">
        <is>
          <t>(1.123988 − 1.0740) × 10000 = 499.88 bp</t>
        </is>
      </c>
      <c r="D20" s="2" t="n"/>
      <c r="E2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0" customWidth="1" min="1" max="1"/>
    <col width="17.6" customWidth="1" min="2" max="2"/>
    <col width="38.5" customWidth="1" min="3" max="3"/>
    <col width="10" customWidth="1" min="4" max="4"/>
    <col width="37.40000000000001" customWidth="1" min="5" max="5"/>
    <col width="12.1" customWidth="1" min="6" max="6"/>
    <col width="60" customWidth="1" min="7" max="7"/>
    <col width="60" customWidth="1" min="8" max="8"/>
    <col width="47.3" customWidth="1" min="9" max="9"/>
    <col width="60" customWidth="1" min="10" max="10"/>
    <col width="10" customWidth="1" min="11" max="11"/>
    <col width="36.3" customWidth="1" min="12" max="12"/>
  </cols>
  <sheetData>
    <row r="1">
      <c r="A1" s="1" t="inlineStr">
        <is>
          <t>五项限额逐条测算（现行 v3，生效日 2026-09-01；分母=计划资产净值总额 1,342,513,971.39 元）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条款号</t>
        </is>
      </c>
      <c r="B2" s="3" t="inlineStr">
        <is>
          <t>规则</t>
        </is>
      </c>
      <c r="C2" s="3" t="inlineStr">
        <is>
          <t>指标</t>
        </is>
      </c>
      <c r="D2" s="3" t="inlineStr">
        <is>
          <t>比较方向</t>
        </is>
      </c>
      <c r="E2" s="3" t="inlineStr">
        <is>
          <t>分子口径</t>
        </is>
      </c>
      <c r="F2" s="3" t="inlineStr">
        <is>
          <t>分子金额</t>
        </is>
      </c>
      <c r="G2" s="3" t="inlineStr">
        <is>
          <t>分母_资产净值</t>
        </is>
      </c>
      <c r="H2" s="3" t="inlineStr">
        <is>
          <t>测算值</t>
        </is>
      </c>
      <c r="I2" s="3" t="inlineStr">
        <is>
          <t>测算值_小数</t>
        </is>
      </c>
      <c r="J2" s="3" t="inlineStr">
        <is>
          <t>限额</t>
        </is>
      </c>
      <c r="K2" s="3" t="inlineStr">
        <is>
          <t>结论</t>
        </is>
      </c>
      <c r="L2" s="3" t="inlineStr">
        <is>
          <t>依据</t>
        </is>
      </c>
    </row>
    <row r="3">
      <c r="A3" s="2" t="inlineStr">
        <is>
          <t>第4条</t>
        </is>
      </c>
      <c r="B3" s="2" t="inlineStr">
        <is>
          <t>R-01</t>
        </is>
      </c>
      <c r="C3" s="2" t="inlineStr">
        <is>
          <t>单一证券市值占计划资产净值总额的比例</t>
        </is>
      </c>
      <c r="D3" s="2" t="inlineStr">
        <is>
          <t>≤ 10%</t>
        </is>
      </c>
      <c r="E3" s="2" t="inlineStr">
        <is>
          <t>102600003.IB 华骏集团2026年第3期中期票据 合计市值</t>
        </is>
      </c>
      <c r="F3" s="2" t="n">
        <v>161214619.6</v>
      </c>
      <c r="G3" s="2" t="n">
        <v>1342513971.39</v>
      </c>
      <c r="H3" s="2" t="inlineStr">
        <is>
          <t>12.01%</t>
        </is>
      </c>
      <c r="I3" s="2" t="n">
        <v>0.120084</v>
      </c>
      <c r="J3" s="2" t="inlineStr">
        <is>
          <t>10.00%</t>
        </is>
      </c>
      <c r="K3" s="2" t="inlineStr">
        <is>
          <t>超限</t>
        </is>
      </c>
      <c r="L3" s="2" t="inlineStr">
        <is>
          <t>rules/restrictions_v3_20260901.md</t>
        </is>
      </c>
    </row>
    <row r="4">
      <c r="A4" s="2" t="inlineStr">
        <is>
          <t>第5条</t>
        </is>
      </c>
      <c r="B4" s="2" t="inlineStr">
        <is>
          <t>R-02</t>
        </is>
      </c>
      <c r="C4" s="2" t="inlineStr">
        <is>
          <t>单一发行人及其关联方合计比例</t>
        </is>
      </c>
      <c r="D4" s="2" t="inlineStr">
        <is>
          <t>≤ 15%</t>
        </is>
      </c>
      <c r="E4" s="2" t="inlineStr">
        <is>
          <t>发行人「华骏集团」名下有效持仓合计市值</t>
        </is>
      </c>
      <c r="F4" s="2" t="n">
        <v>161214619.6</v>
      </c>
      <c r="G4" s="2" t="n">
        <v>1342513971.39</v>
      </c>
      <c r="H4" s="2" t="inlineStr">
        <is>
          <t>12.01%</t>
        </is>
      </c>
      <c r="I4" s="2" t="n">
        <v>0.120084</v>
      </c>
      <c r="J4" s="2" t="inlineStr">
        <is>
          <t>15.00%</t>
        </is>
      </c>
      <c r="K4" s="2" t="inlineStr">
        <is>
          <t>合规</t>
        </is>
      </c>
      <c r="L4" s="2" t="inlineStr">
        <is>
          <t>rules/restrictions_v3_20260901.md</t>
        </is>
      </c>
    </row>
    <row r="5">
      <c r="A5" s="2" t="inlineStr">
        <is>
          <t>第6条</t>
        </is>
      </c>
      <c r="B5" s="2" t="inlineStr">
        <is>
          <t>R-03</t>
        </is>
      </c>
      <c r="C5" s="2" t="inlineStr">
        <is>
          <t>非标资产（证券主数据sec_type=NonStdAsset）合计比例</t>
        </is>
      </c>
      <c r="D5" s="2" t="inlineStr">
        <is>
          <t>≤ 5%</t>
        </is>
      </c>
      <c r="E5" s="2" t="inlineStr">
        <is>
          <t>sec_type=NonStdAsset 有效持仓市值合计</t>
        </is>
      </c>
      <c r="F5" s="2" t="n">
        <v>60420000</v>
      </c>
      <c r="G5" s="2" t="n">
        <v>1342513971.39</v>
      </c>
      <c r="H5" s="2" t="inlineStr">
        <is>
          <t>4.50%</t>
        </is>
      </c>
      <c r="I5" s="2" t="n">
        <v>0.045005</v>
      </c>
      <c r="J5" s="2" t="inlineStr">
        <is>
          <t>5.00%</t>
        </is>
      </c>
      <c r="K5" s="2" t="inlineStr">
        <is>
          <t>合规</t>
        </is>
      </c>
      <c r="L5" s="2" t="inlineStr">
        <is>
          <t>rules/restrictions_v3_20260901.md</t>
        </is>
      </c>
    </row>
    <row r="6">
      <c r="A6" s="2" t="inlineStr">
        <is>
          <t>第7条</t>
        </is>
      </c>
      <c r="B6" s="2" t="inlineStr">
        <is>
          <t>R-05</t>
        </is>
      </c>
      <c r="C6" s="2" t="inlineStr">
        <is>
          <t>现金类资产（含清算备付金）比例</t>
        </is>
      </c>
      <c r="D6" s="2" t="inlineStr">
        <is>
          <t>≥ 3%</t>
        </is>
      </c>
      <c r="E6" s="2" t="inlineStr">
        <is>
          <t>托管报告现金及清算备付金（银行对账单两账户合计一致）</t>
        </is>
      </c>
      <c r="F6" s="2" t="n">
        <v>45645475.03</v>
      </c>
      <c r="G6" s="2" t="n">
        <v>1342513971.39</v>
      </c>
      <c r="H6" s="2" t="inlineStr">
        <is>
          <t>3.40%</t>
        </is>
      </c>
      <c r="I6" s="2" t="n">
        <v>0.034</v>
      </c>
      <c r="J6" s="2" t="inlineStr">
        <is>
          <t>3.00%</t>
        </is>
      </c>
      <c r="K6" s="2" t="inlineStr">
        <is>
          <t>合规</t>
        </is>
      </c>
      <c r="L6" s="2" t="inlineStr">
        <is>
          <t>rules/restrictions_v3_20260901.md</t>
        </is>
      </c>
    </row>
    <row r="7">
      <c r="A7" s="2" t="inlineStr">
        <is>
          <t>第8条</t>
        </is>
      </c>
      <c r="B7" s="2" t="inlineStr">
        <is>
          <t>R-07</t>
        </is>
      </c>
      <c r="C7" s="2" t="inlineStr">
        <is>
          <t>权益型基金合计比例</t>
        </is>
      </c>
      <c r="D7" s="2" t="inlineStr">
        <is>
          <t>≤ 20%</t>
        </is>
      </c>
      <c r="E7" s="2" t="inlineStr">
        <is>
          <t>sec_type=EquityFund 有效持仓市值合计</t>
        </is>
      </c>
      <c r="F7" s="2" t="n">
        <v>102478344</v>
      </c>
      <c r="G7" s="2" t="n">
        <v>1342513971.39</v>
      </c>
      <c r="H7" s="2" t="inlineStr">
        <is>
          <t>7.63%</t>
        </is>
      </c>
      <c r="I7" s="2" t="n">
        <v>0.076333</v>
      </c>
      <c r="J7" s="2" t="inlineStr">
        <is>
          <t>20.00%</t>
        </is>
      </c>
      <c r="K7" s="2" t="inlineStr">
        <is>
          <t>合规</t>
        </is>
      </c>
      <c r="L7" s="2" t="inlineStr">
        <is>
          <t>rules/restrictions_v3_20260901.md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1" t="inlineStr">
        <is>
          <t>超限处置详情（任务9；已在报告第四章正文披露）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3" t="inlineStr">
        <is>
          <t>证券代码</t>
        </is>
      </c>
      <c r="B10" s="3" t="inlineStr">
        <is>
          <t>证券名称</t>
        </is>
      </c>
      <c r="C10" s="3" t="inlineStr">
        <is>
          <t>市值</t>
        </is>
      </c>
      <c r="D10" s="3" t="inlineStr">
        <is>
          <t>占净值比</t>
        </is>
      </c>
      <c r="E10" s="3" t="inlineStr">
        <is>
          <t>限额</t>
        </is>
      </c>
      <c r="F10" s="3" t="inlineStr">
        <is>
          <t>超限幅度_bp</t>
        </is>
      </c>
      <c r="G10" s="3" t="inlineStr">
        <is>
          <t>成因</t>
        </is>
      </c>
      <c r="H10" s="3" t="inlineStr">
        <is>
          <t>整改动作</t>
        </is>
      </c>
      <c r="I10" s="3" t="inlineStr">
        <is>
          <t>时限</t>
        </is>
      </c>
      <c r="J10" s="3" t="inlineStr">
        <is>
          <t>披露要求</t>
        </is>
      </c>
      <c r="K10" s="3" t="n"/>
      <c r="L10" s="3" t="n"/>
    </row>
    <row r="11">
      <c r="A11" s="2" t="inlineStr">
        <is>
          <t>102600003.IB</t>
        </is>
      </c>
      <c r="B11" s="2" t="inlineStr">
        <is>
          <t>华骏集团2026年第3期中期票据</t>
        </is>
      </c>
      <c r="C11" s="2" t="n">
        <v>161214619.6</v>
      </c>
      <c r="D11" s="2" t="inlineStr">
        <is>
          <t>12.01%</t>
        </is>
      </c>
      <c r="E11" s="2" t="inlineStr">
        <is>
          <t>10.00%</t>
        </is>
      </c>
      <c r="F11" s="2" t="n">
        <v>200.84</v>
      </c>
      <c r="G11" s="2" t="inlineStr">
        <is>
          <t>9 月按投资决策纪要增持华骏集团 2026 年第一期中期票据（纪要口径增持后不超过净值 11%、内部预警线 10.5%）；主数据显示「华骏集团 2026 年第一期中期票据」已于 2026-09-12 matured，期末实际存续并计入的华骏集团持仓为 102600003.IB（华骏集团2026年第3期中期票据），审批所指券名与主数据不一致（待核实）；期末实测 12.01% 高于审批上限与硬性限额，属主动超限</t>
        </is>
      </c>
      <c r="H11" s="2" t="inlineStr">
        <is>
          <t>按 v3 第9条于估值日起 T+2 个工作日内提交整改计划，减持 102600003.IB 使单一证券占比降至 10.00% 以内；处置方式与完成时限以整改计划为准（材料未载明，待核实）</t>
        </is>
      </c>
      <c r="I11" s="2" t="inlineStr">
        <is>
          <t>整改计划提交：T+2 个工作日（v3 第9条）；整改完成时限：待核实（以整改计划为准）</t>
        </is>
      </c>
      <c r="J11" s="2" t="inlineStr">
        <is>
          <t>于季度报告「投资监督」章节披露超限事实、成因、整改措施与时限（v3 第9条）；非盘中瞬时超限（第10条不适用），非被动超限（第11条不适用）</t>
        </is>
      </c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1" t="inlineStr">
        <is>
          <t>交叉核对与版本适用性备注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3" t="inlineStr">
        <is>
          <t>备注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2" t="inlineStr">
        <is>
          <t>交叉核对：流动性管理制度第12条要求现金类资产不低于净值 3%，与现行 v3 第7条（R-05 ≥3%）阈值一致；但流动性制度第21条称「现金类资产的界定与投资限制条款第七章保持一致。」，现行 v3 仅四章、无第七章，现金类资产界定的条文出处缺失，界定细节待核实（本期分子按托管行口径「现金及清算备付金」45,645,475.03 元执行）。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版本适用性：v3 生效日 2026-09-01，替代 v2（2026-06-01 版）；本期估值日 2026-09-30 在 v3 生效日之后，一律按 v3 执行。历史版 v2 限额（R-01 12%、R-03 8%、R-05 2%、R-07 25%）已被替代，仅作历史回溯，不适用于本期。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R-02 按主数据 issuer 字段汇总；「华骏集团」关联方名单材料未载明，关联方合并口径待核实。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最终采用数据源：净值/份额/现金=托管行报告（valuation/nav_report_20260930.csv）；持仓=管理人系统盘后导出（portfolio/holdings_2026Q3.xlsx，有效口径）；行情=数据组重推件（data/price_feed_20260930_repush.csv，估值日过滤）；应收应付=valuation/accruals_20260930.csv；现金明细=valuation/bank_statement_20260930.csv。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6.4" customWidth="1" min="4" max="4"/>
    <col width="55.00000000000001" customWidth="1" min="5" max="5"/>
    <col width="60" customWidth="1" min="6" max="6"/>
    <col width="11" customWidth="1" min="7" max="7"/>
  </cols>
  <sheetData>
    <row r="1">
      <c r="A1" s="1" t="inlineStr">
        <is>
          <t>数据问题与阻塞台账（10 条，七要素）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类别</t>
        </is>
      </c>
      <c r="B2" s="3" t="inlineStr">
        <is>
          <t>文件</t>
        </is>
      </c>
      <c r="C2" s="3" t="inlineStr">
        <is>
          <t>现象</t>
        </is>
      </c>
      <c r="D2" s="3" t="inlineStr">
        <is>
          <t>影响</t>
        </is>
      </c>
      <c r="E2" s="3" t="inlineStr">
        <is>
          <t>处置动作</t>
        </is>
      </c>
      <c r="F2" s="3" t="inlineStr">
        <is>
          <t>依据</t>
        </is>
      </c>
      <c r="G2" s="3" t="inlineStr">
        <is>
          <t>状态</t>
        </is>
      </c>
    </row>
    <row r="3">
      <c r="A3" s="2" t="inlineStr">
        <is>
          <t>行情缺失</t>
        </is>
      </c>
      <c r="B3" s="2" t="inlineStr">
        <is>
          <t>valuation/price_feed_20260930.csv</t>
        </is>
      </c>
      <c r="C3" s="2" t="inlineStr">
        <is>
          <t>估值日行情主件为空文件（0 条记录），系传输环节未落盘的残留件</t>
        </is>
      </c>
      <c r="D3" s="2" t="inlineStr">
        <is>
          <t>无法以主件取估值日价格</t>
        </is>
      </c>
      <c r="E3" s="2" t="inlineStr">
        <is>
          <t>改以数据组重推件 data/price_feed_20260930_repush.csv 为取数依据</t>
        </is>
      </c>
      <c r="F3" s="2" t="inlineStr">
        <is>
          <t>internal/ops_email_20261008.txt（主件不承载数据，以重推件为准）</t>
        </is>
      </c>
      <c r="G3" s="2" t="inlineStr">
        <is>
          <t>已解决</t>
        </is>
      </c>
    </row>
    <row r="4">
      <c r="A4" s="2" t="inlineStr">
        <is>
          <t>口径过滤</t>
        </is>
      </c>
      <c r="B4" s="2" t="inlineStr">
        <is>
          <t>data/price_feed_20260930_repush.csv</t>
        </is>
      </c>
      <c r="C4" s="2" t="inlineStr">
        <is>
          <t>重推件 131 行中混有 5 行前一交易日（非估值日）记录，批次标识为原始推送</t>
        </is>
      </c>
      <c r="D4" s="2" t="inlineStr">
        <is>
          <t>直接使用将混入非估值日价格</t>
        </is>
      </c>
      <c r="E4" s="2" t="inlineStr">
        <is>
          <t>按 trade_date=2026-09-30 过滤后取 126 行（126 只证券）</t>
        </is>
      </c>
      <c r="F4" s="2" t="inlineStr">
        <is>
          <t>ops 邮件（以估值日当日记录为准）+ recon_runbook 3.3</t>
        </is>
      </c>
      <c r="G4" s="2" t="inlineStr">
        <is>
          <t>已解决</t>
        </is>
      </c>
    </row>
    <row r="5">
      <c r="A5" s="2" t="inlineStr">
        <is>
          <t>字段过时</t>
        </is>
      </c>
      <c r="B5" s="2" t="inlineStr">
        <is>
          <t>rules/recon_runbook.md</t>
        </is>
      </c>
      <c r="C5" s="2" t="inlineStr">
        <is>
          <t>指引 3.1 要求以 wind_code 关联，但 2026-08 数据字典改版后持仓侧为 sec_code、行情侧为 instrument_id，两侧均无 wind_code 列</t>
        </is>
      </c>
      <c r="D5" s="2" t="inlineStr">
        <is>
          <t>按指引原文无法执行关联</t>
        </is>
      </c>
      <c r="E5" s="2" t="inlineStr">
        <is>
          <t>按数据字典以 sec_code=instrument_id 一一对应关联；建议修订指引字段名</t>
        </is>
      </c>
      <c r="F5" s="2" t="inlineStr">
        <is>
          <t>internal/data_dictionary.md §3 命名沿革</t>
        </is>
      </c>
      <c r="G5" s="2" t="inlineStr">
        <is>
          <t>已解决（指引待修订）</t>
        </is>
      </c>
    </row>
    <row r="6">
      <c r="A6" s="2" t="inlineStr">
        <is>
          <t>陈旧数据</t>
        </is>
      </c>
      <c r="B6" s="2" t="inlineStr">
        <is>
          <t>portfolio/holdings_2026Q3.xlsx</t>
        </is>
      </c>
      <c r="C6" s="2" t="inlineStr">
        <is>
          <t>6 行 as_of=2026-06-30（上期末）记录混入 6 个账户 sheet</t>
        </is>
      </c>
      <c r="D6" s="2" t="inlineStr">
        <is>
          <t>全表口径虚增市值 25,774,234.50 元</t>
        </is>
      </c>
      <c r="E6" s="2" t="inlineStr">
        <is>
          <t>按 runbook 2.1 估值日归属剔除</t>
        </is>
      </c>
      <c r="F6" s="2" t="inlineStr">
        <is>
          <t>rules/recon_runbook.md 2.1</t>
        </is>
      </c>
      <c r="G6" s="2" t="inlineStr">
        <is>
          <t>已解决</t>
        </is>
      </c>
    </row>
    <row r="7">
      <c r="A7" s="2" t="inlineStr">
        <is>
          <t>状态不符</t>
        </is>
      </c>
      <c r="B7" s="2" t="inlineStr">
        <is>
          <t>portfolio/holdings_2026Q3.xlsx + portfolio/security_master.csv</t>
        </is>
      </c>
      <c r="C7" s="2" t="inlineStr">
        <is>
          <t>5 行主数据状态非 active 的证券仍出现在导出中：260001.IB（called）、102600001.IB（matured）、102600002.IB（matured）、11260001.SH（matured）、11260002.SH（matured）</t>
        </is>
      </c>
      <c r="D7" s="2" t="inlineStr">
        <is>
          <t>虚增市值 25,142,250.00 元</t>
        </is>
      </c>
      <c r="E7" s="2" t="inlineStr">
        <is>
          <t>按 runbook 2.2 剔除；到期/赎回事实与投资经理说明第2条一致</t>
        </is>
      </c>
      <c r="F7" s="2" t="inlineStr">
        <is>
          <t>rules/recon_runbook.md 2.2 + internal/manager_notes.md</t>
        </is>
      </c>
      <c r="G7" s="2" t="inlineStr">
        <is>
          <t>已解决</t>
        </is>
      </c>
    </row>
    <row r="8">
      <c r="A8" s="2" t="inlineStr">
        <is>
          <t>重复上报</t>
        </is>
      </c>
      <c r="B8" s="2" t="inlineStr">
        <is>
          <t>portfolio/holdings_2026Q3.xlsx</t>
        </is>
      </c>
      <c r="C8" s="2" t="inlineStr">
        <is>
          <t>4 行同 acct+sec_code+vol 重复上报（acct_01、acct_03、acct_06、acct_10），source_row_id 不同</t>
        </is>
      </c>
      <c r="D8" s="2" t="inlineStr">
        <is>
          <t>虚增市值 11,554,917.40 元</t>
        </is>
      </c>
      <c r="E8" s="2" t="inlineStr">
        <is>
          <t>按 runbook 2.3 以 source_row_id 升序保留首条，其余剔除</t>
        </is>
      </c>
      <c r="F8" s="2" t="inlineStr">
        <is>
          <t>rules/recon_runbook.md 2.3</t>
        </is>
      </c>
      <c r="G8" s="2" t="inlineStr">
        <is>
          <t>已解决</t>
        </is>
      </c>
    </row>
    <row r="9">
      <c r="A9" s="2" t="inlineStr">
        <is>
          <t>名称不一致</t>
        </is>
      </c>
      <c r="B9" s="2" t="inlineStr">
        <is>
          <t>internal/approval_memo_20260928.md + internal/manager_notes.md</t>
        </is>
      </c>
      <c r="C9" s="2" t="inlineStr">
        <is>
          <t>纪要与说明称增持「华骏集团 2026 年第一期中期票据」，但主数据显示该券已于 2026-09-12 状态 matured；期末存续的华骏集团持仓为 102600003.IB（华骏集团2026年第3期中期票据）</t>
        </is>
      </c>
      <c r="D9" s="2" t="inlineStr">
        <is>
          <t>审批所指券名与实际持仓不一致，影响超限成因追溯</t>
        </is>
      </c>
      <c r="E9" s="2" t="inlineStr">
        <is>
          <t>测算以主数据与持仓明细为准；名称差异登记待核实</t>
        </is>
      </c>
      <c r="F9" s="2" t="inlineStr">
        <is>
          <t>portfolio/security_master.csv</t>
        </is>
      </c>
      <c r="G9" s="2" t="inlineStr">
        <is>
          <t>待核实</t>
        </is>
      </c>
    </row>
    <row r="10">
      <c r="A10" s="2" t="inlineStr">
        <is>
          <t>条文引用缺失</t>
        </is>
      </c>
      <c r="B10" s="2" t="inlineStr">
        <is>
          <t>rules/liquidity_policy.md</t>
        </is>
      </c>
      <c r="C10" s="2" t="inlineStr">
        <is>
          <t>第21条引用「投资限制条款第七章」，现行 v3 仅四章、无第七章</t>
        </is>
      </c>
      <c r="D10" s="2" t="inlineStr">
        <is>
          <t>现金类资产界定的条文出处缺失</t>
        </is>
      </c>
      <c r="E10" s="2" t="inlineStr">
        <is>
          <t>阈值交叉核对一致（≥3%）；分子按托管口径现金及清算备付金执行，界定细节待核实</t>
        </is>
      </c>
      <c r="F10" s="2" t="inlineStr">
        <is>
          <t>rules/restrictions_v3_20260901.md + rules/liquidity_policy.md</t>
        </is>
      </c>
      <c r="G10" s="2" t="inlineStr">
        <is>
          <t>待核实</t>
        </is>
      </c>
    </row>
    <row r="11">
      <c r="A11" s="2" t="inlineStr">
        <is>
          <t>限额超限</t>
        </is>
      </c>
      <c r="B11" s="2" t="inlineStr">
        <is>
          <t>portfolio/holdings_2026Q3.xlsx</t>
        </is>
      </c>
      <c r="C11" s="2" t="inlineStr">
        <is>
          <t>R-01 单一证券集中度 12.01% 超过 v3 10% 上限（102600003.IB 华骏集团2026年第3期中期票据，市值 161,214,619.60 元）</t>
        </is>
      </c>
      <c r="D11" s="2" t="inlineStr">
        <is>
          <t>期末主动超限，须披露并整改</t>
        </is>
      </c>
      <c r="E11" s="2" t="inlineStr">
        <is>
          <t>按 v3 第9条 T+2 个工作日内提交整改计划，减持至限额内；于报告第四章披露</t>
        </is>
      </c>
      <c r="F11" s="2" t="inlineStr">
        <is>
          <t>rules/restrictions_v3_20260901.md 第9条</t>
        </is>
      </c>
      <c r="G11" s="2" t="inlineStr">
        <is>
          <t>整改中</t>
        </is>
      </c>
    </row>
    <row r="12">
      <c r="A12" s="2" t="inlineStr">
        <is>
          <t>历史触限回溯</t>
        </is>
      </c>
      <c r="B12" s="2" t="inlineStr">
        <is>
          <t>compliance/breach_log_2026.csv</t>
        </is>
      </c>
      <c r="C12" s="2" t="inlineStr">
        <is>
          <t>历史触发记录：BR-2026-004（2026-06-17，R-02，已解除）；BR-2026-005（2026-08-11，R-06，已解除），均已解除</t>
        </is>
      </c>
      <c r="D12" s="2" t="inlineStr">
        <is>
          <t>无期末存量影响</t>
        </is>
      </c>
      <c r="E12" s="2" t="inlineStr">
        <is>
          <t>按 v3 第10条记入限额监测台账、无需披露，本期留痕</t>
        </is>
      </c>
      <c r="F12" s="2" t="inlineStr">
        <is>
          <t>rules/restrictions_v3_20260901.md 第10条</t>
        </is>
      </c>
      <c r="G12" s="2" t="inlineStr">
        <is>
          <t>已解决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最终采用数据源</t>
        </is>
      </c>
      <c r="B14" s="3" t="n"/>
      <c r="C14" s="3" t="n"/>
      <c r="D14" s="3" t="n"/>
      <c r="E14" s="3" t="n"/>
      <c r="F14" s="3" t="n"/>
      <c r="G14" s="3" t="n"/>
    </row>
    <row r="15">
      <c r="A15" s="2" t="inlineStr">
        <is>
          <t>最终采用数据源：净值/份额/现金=托管行报告（valuation/nav_report_20260930.csv）；持仓=管理人系统盘后导出（portfolio/holdings_2026Q3.xlsx，有效口径）；行情=数据组重推件（data/price_feed_20260930_repush.csv，估值日过滤）；应收应付=valuation/accruals_20260930.csv；现金明细=valuation/bank_statement_20260930.csv。</t>
        </is>
      </c>
      <c r="B15" s="2" t="n"/>
      <c r="C15" s="2" t="n"/>
      <c r="D15" s="2" t="n"/>
      <c r="E15" s="2" t="n"/>
      <c r="F15" s="2" t="n"/>
      <c r="G1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24.2" customWidth="1" min="2" max="2"/>
    <col width="15.4" customWidth="1" min="3" max="3"/>
    <col width="46.2" customWidth="1" min="4" max="4"/>
  </cols>
  <sheetData>
    <row r="1">
      <c r="A1" s="1" t="inlineStr">
        <is>
          <t>任务拆解与完成状态</t>
        </is>
      </c>
      <c r="B1" s="2" t="n"/>
      <c r="C1" s="2" t="n"/>
      <c r="D1" s="2" t="n"/>
    </row>
    <row r="2">
      <c r="A2" s="3" t="inlineStr">
        <is>
          <t>任务编号</t>
        </is>
      </c>
      <c r="B2" s="3" t="inlineStr">
        <is>
          <t>任务项</t>
        </is>
      </c>
      <c r="C2" s="3" t="inlineStr">
        <is>
          <t>状态</t>
        </is>
      </c>
      <c r="D2" s="3" t="inlineStr">
        <is>
          <t>对应交付物位置</t>
        </is>
      </c>
    </row>
    <row r="3">
      <c r="A3" s="2" t="inlineStr">
        <is>
          <t>T1</t>
        </is>
      </c>
      <c r="B3" s="2" t="inlineStr">
        <is>
          <t>材料清点（分目录计数与总数勾稽）</t>
        </is>
      </c>
      <c r="C3" s="2" t="inlineStr">
        <is>
          <t>已完成</t>
        </is>
      </c>
      <c r="D3" s="2" t="inlineStr">
        <is>
          <t>workbook:Coverage 块1；报告第一章</t>
        </is>
      </c>
    </row>
    <row r="4">
      <c r="A4" s="2" t="inlineStr">
        <is>
          <t>T2</t>
        </is>
      </c>
      <c r="B4" s="2" t="inlineStr">
        <is>
          <t>持仓全覆盖（十 sheet 逐表读取汇总）</t>
        </is>
      </c>
      <c r="C4" s="2" t="inlineStr">
        <is>
          <t>已完成</t>
        </is>
      </c>
      <c r="D4" s="2" t="inlineStr">
        <is>
          <t>workbook:Coverage 块2；holdings_coverage.csv</t>
        </is>
      </c>
    </row>
    <row r="5">
      <c r="A5" s="2" t="inlineStr">
        <is>
          <t>T3</t>
        </is>
      </c>
      <c r="B5" s="2" t="inlineStr">
        <is>
          <t>有效持仓口径（三类剔除分列+未过滤对照）</t>
        </is>
      </c>
      <c r="C5" s="2" t="inlineStr">
        <is>
          <t>已完成</t>
        </is>
      </c>
      <c r="D5" s="2" t="inlineStr">
        <is>
          <t>workbook:Coverage/Nav_Bridge；报告第三章</t>
        </is>
      </c>
    </row>
    <row r="6">
      <c r="A6" s="2" t="inlineStr">
        <is>
          <t>T4</t>
        </is>
      </c>
      <c r="B6" s="2" t="inlineStr">
        <is>
          <t>行情取数（重推件+估值日过滤+关联留痕）</t>
        </is>
      </c>
      <c r="C6" s="2" t="inlineStr">
        <is>
          <t>已完成</t>
        </is>
      </c>
      <c r="D6" s="2" t="inlineStr">
        <is>
          <t>workbook:Coverage 块3；报告第三章</t>
        </is>
      </c>
    </row>
    <row r="7">
      <c r="A7" s="2" t="inlineStr">
        <is>
          <t>T5</t>
        </is>
      </c>
      <c r="B7" s="2" t="inlineStr">
        <is>
          <t>市值与净值复核（推导链逐行+差额bp）</t>
        </is>
      </c>
      <c r="C7" s="2" t="inlineStr">
        <is>
          <t>已完成</t>
        </is>
      </c>
      <c r="D7" s="2" t="inlineStr">
        <is>
          <t>workbook:Valuation_Recalc；报告第二章</t>
        </is>
      </c>
    </row>
    <row r="8">
      <c r="A8" s="2" t="inlineStr">
        <is>
          <t>T6</t>
        </is>
      </c>
      <c r="B8" s="2" t="inlineStr">
        <is>
          <t>现金勾稽（分账户+差额）</t>
        </is>
      </c>
      <c r="C8" s="2" t="inlineStr">
        <is>
          <t>已完成</t>
        </is>
      </c>
      <c r="D8" s="2" t="inlineStr">
        <is>
          <t>workbook:Nav_Bridge 块1；报告第二章</t>
        </is>
      </c>
    </row>
    <row r="9">
      <c r="A9" s="2" t="inlineStr">
        <is>
          <t>T7</t>
        </is>
      </c>
      <c r="B9" s="2" t="inlineStr">
        <is>
          <t>五项限额逐条测算（含流动性制度交叉核对）</t>
        </is>
      </c>
      <c r="C9" s="2" t="inlineStr">
        <is>
          <t>已完成</t>
        </is>
      </c>
      <c r="D9" s="2" t="inlineStr">
        <is>
          <t>workbook:Compliance_Check；报告第四章</t>
        </is>
      </c>
    </row>
    <row r="10">
      <c r="A10" s="2" t="inlineStr">
        <is>
          <t>T8</t>
        </is>
      </c>
      <c r="B10" s="2" t="inlineStr">
        <is>
          <t>条款版本适用性说明</t>
        </is>
      </c>
      <c r="C10" s="2" t="inlineStr">
        <is>
          <t>已完成</t>
        </is>
      </c>
      <c r="D10" s="2" t="inlineStr">
        <is>
          <t>workbook:Compliance_Check 备注；报告第四章</t>
        </is>
      </c>
    </row>
    <row r="11">
      <c r="A11" s="2" t="inlineStr">
        <is>
          <t>T9</t>
        </is>
      </c>
      <c r="B11" s="2" t="inlineStr">
        <is>
          <t>超限处置（成因/整改/时限/披露，正文披露）</t>
        </is>
      </c>
      <c r="C11" s="2" t="inlineStr">
        <is>
          <t>已完成（整改中，含待核实项）</t>
        </is>
      </c>
      <c r="D11" s="2" t="inlineStr">
        <is>
          <t>报告第四章正文；workbook:Compliance_Check 超限处置块</t>
        </is>
      </c>
    </row>
    <row r="12">
      <c r="A12" s="2" t="inlineStr">
        <is>
          <t>T10</t>
        </is>
      </c>
      <c r="B12" s="2" t="inlineStr">
        <is>
          <t>上期报告重述（≥3条）</t>
        </is>
      </c>
      <c r="C12" s="2" t="inlineStr">
        <is>
          <t>已完成</t>
        </is>
      </c>
      <c r="D12" s="2" t="inlineStr">
        <is>
          <t>workbook:Prev_Report_Fix；报告第五章</t>
        </is>
      </c>
    </row>
    <row r="13">
      <c r="A13" s="2" t="inlineStr">
        <is>
          <t>T11</t>
        </is>
      </c>
      <c r="B13" s="2" t="inlineStr">
        <is>
          <t>数据问题台账（七要素）</t>
        </is>
      </c>
      <c r="C13" s="2" t="inlineStr">
        <is>
          <t>已完成（2 项待核实）</t>
        </is>
      </c>
      <c r="D13" s="2" t="inlineStr">
        <is>
          <t>workbook:Issue_Log；issue_log.csv；报告第六章</t>
        </is>
      </c>
    </row>
    <row r="14">
      <c r="A14" s="2" t="inlineStr">
        <is>
          <t>T12</t>
        </is>
      </c>
      <c r="B14" s="2" t="inlineStr">
        <is>
          <t>任务拆解与完成状态表</t>
        </is>
      </c>
      <c r="C14" s="2" t="inlineStr">
        <is>
          <t>已完成</t>
        </is>
      </c>
      <c r="D14" s="2" t="inlineStr">
        <is>
          <t>workbook:Task_Status；报告第七章</t>
        </is>
      </c>
    </row>
    <row r="15">
      <c r="A15" s="2" t="inlineStr">
        <is>
          <t>T13</t>
        </is>
      </c>
      <c r="B15" s="2" t="inlineStr">
        <is>
          <t>复合图（限额对比+账户覆盖）</t>
        </is>
      </c>
      <c r="C15" s="2" t="inlineStr">
        <is>
          <t>已完成</t>
        </is>
      </c>
      <c r="D15" s="2" t="inlineStr">
        <is>
          <t>charts.png</t>
        </is>
      </c>
    </row>
    <row r="16">
      <c r="A16" s="2" t="inlineStr">
        <is>
          <t>T14</t>
        </is>
      </c>
      <c r="B16" s="2" t="inlineStr">
        <is>
          <t>可复算脚本（读入即算，无硬编码结论）</t>
        </is>
      </c>
      <c r="C16" s="2" t="inlineStr">
        <is>
          <t>已完成</t>
        </is>
      </c>
      <c r="D16" s="2" t="inlineStr">
        <is>
          <t>reproduce.py（本脚本）</t>
        </is>
      </c>
    </row>
    <row r="17">
      <c r="A17" s="2" t="inlineStr">
        <is>
          <t>T15</t>
        </is>
      </c>
      <c r="B17" s="2" t="inlineStr">
        <is>
          <t>报告成文（八章节，≤2页/1600中文字符）</t>
        </is>
      </c>
      <c r="C17" s="2" t="inlineStr">
        <is>
          <t>已完成</t>
        </is>
      </c>
      <c r="D17" s="2" t="inlineStr">
        <is>
          <t>operation_report.md</t>
        </is>
      </c>
    </row>
    <row r="18">
      <c r="A18" s="2" t="inlineStr">
        <is>
          <t>T16</t>
        </is>
      </c>
      <c r="B18" s="2" t="inlineStr">
        <is>
          <t>勾稽一致性交叉校验</t>
        </is>
      </c>
      <c r="C18" s="2" t="inlineStr">
        <is>
          <t>已完成</t>
        </is>
      </c>
      <c r="D18" s="2" t="inlineStr">
        <is>
          <t>全部交付物（脚本内 assert 校验）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.1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上期报告（2026Q2）不再适用表述的重述</t>
        </is>
      </c>
      <c r="B1" s="2" t="n"/>
      <c r="C1" s="2" t="n"/>
      <c r="D1" s="2" t="n"/>
      <c r="E1" s="2" t="n"/>
    </row>
    <row r="2">
      <c r="A2" s="3" t="inlineStr">
        <is>
          <t>编号</t>
        </is>
      </c>
      <c r="B2" s="3" t="inlineStr">
        <is>
          <t>上期原表述</t>
        </is>
      </c>
      <c r="C2" s="3" t="inlineStr">
        <is>
          <t>出处</t>
        </is>
      </c>
      <c r="D2" s="3" t="inlineStr">
        <is>
          <t>不再适用原因</t>
        </is>
      </c>
      <c r="E2" s="3" t="inlineStr">
        <is>
          <t>本期处置</t>
        </is>
      </c>
    </row>
    <row r="3">
      <c r="A3" s="2" t="inlineStr">
        <is>
          <t>P1</t>
        </is>
      </c>
      <c r="B3" s="2" t="inlineStr">
        <is>
          <t>「单一证券集中度最高 9.87%，低于 12% 上限」（按 2026-06-01 版 v2 条款监测，结论“未发生超限事项”）</t>
        </is>
      </c>
      <c r="C3" s="2" t="inlineStr">
        <is>
          <t>reports/2026Q2_operation_report.md 第二节；compliance/limit_monitor_2026Q2.csv</t>
        </is>
      </c>
      <c r="D3" s="2" t="inlineStr">
        <is>
          <t>v2 已被 v3（生效日 2026-09-01）替代，R-01 上限由 12% 收紧至 10%；且本期末实测单一证券（102600003.IB）已达 12.01%，上期结论口径与本期事实均不再成立</t>
        </is>
      </c>
      <c r="E3" s="2" t="inlineStr">
        <is>
          <t>按 v3 第4条 10% 上限重述并在本报告第四章披露超限事实、成因、整改与时限</t>
        </is>
      </c>
    </row>
    <row r="4">
      <c r="A4" s="2" t="inlineStr">
        <is>
          <t>P2</t>
        </is>
      </c>
      <c r="B4" s="2" t="inlineStr">
        <is>
          <t>「非标资产比例 4.12%，低于 8% 上限」</t>
        </is>
      </c>
      <c r="C4" s="2" t="inlineStr">
        <is>
          <t>reports/2026Q2_operation_report.md 第二节</t>
        </is>
      </c>
      <c r="D4" s="2" t="inlineStr">
        <is>
          <t>v2 非标上限 8% 已被 v3 第6条 5% 替代</t>
        </is>
      </c>
      <c r="E4" s="2" t="inlineStr">
        <is>
          <t>按 v3 上限重述：本期实测 4.50%（60,420,000.00 元），低于 5.00%，合规</t>
        </is>
      </c>
    </row>
    <row r="5">
      <c r="A5" s="2" t="inlineStr">
        <is>
          <t>P3</t>
        </is>
      </c>
      <c r="B5" s="2" t="inlineStr">
        <is>
          <t>「现金类资产比例 2.86%，高于 2% 下限」</t>
        </is>
      </c>
      <c r="C5" s="2" t="inlineStr">
        <is>
          <t>reports/2026Q2_operation_report.md 第二节</t>
        </is>
      </c>
      <c r="D5" s="2" t="inlineStr">
        <is>
          <t>v2 下限 2% 已被 v3 第7条 3% 替代，且与流动性管理制度第12条（≥3%）一致；上期 2.86% 若按现行下限衡量已不足</t>
        </is>
      </c>
      <c r="E5" s="2" t="inlineStr">
        <is>
          <t>按 3% 下限重述：本期实测 3.40%（45,645,475.03 元），高于下限，合规</t>
        </is>
      </c>
    </row>
    <row r="6">
      <c r="A6" s="2" t="inlineStr">
        <is>
          <t>P4</t>
        </is>
      </c>
      <c r="B6" s="2" t="inlineStr">
        <is>
          <t>「持仓汇总口径采用盘后导出明细全表合计，未区分数据所属日期，主要原因是为了与上季度报表保持一致」</t>
        </is>
      </c>
      <c r="C6" s="2" t="inlineStr">
        <is>
          <t>reports/2026Q2_operation_report.md 第二节；internal/manager_notes.md 第4条确认不再适用</t>
        </is>
      </c>
      <c r="D6" s="2" t="inlineStr">
        <is>
          <t>与 recon_runbook 2.1（估值日归属）冲突；本期实测全表合计口径将使单位净值高估约 500 bp（1.123988 vs 1.074011）</t>
        </is>
      </c>
      <c r="E6" s="2" t="inlineStr">
        <is>
          <t>按估值日归属+主数据状态+去重三项口径重算（280 行有效），并在本报告第三、五章说明对照影响</t>
        </is>
      </c>
    </row>
    <row r="7">
      <c r="A7" s="2" t="inlineStr">
        <is>
          <t>P5</t>
        </is>
      </c>
      <c r="B7" s="2" t="inlineStr">
        <is>
          <t>「计划资产净值 12.86 亿元……单位净值 1.0288」（2026-06-30 期末数）</t>
        </is>
      </c>
      <c r="C7" s="2" t="inlineStr">
        <is>
          <t>reports/2026Q2_operation_report.md 第一节</t>
        </is>
      </c>
      <c r="D7" s="2" t="inlineStr">
        <is>
          <t>为上期期末数（2026-06-30），仅供期初对照，不得作为本期期末数引用</t>
        </is>
      </c>
      <c r="E7" s="2" t="inlineStr">
        <is>
          <t>本期期末以托管行报告为准：资产净值 1,342,513,971.39 元、单位净值 1.0740；单位净值较上期 1.0288 变动 4.39%（份额变动与分红材料未载明，期间收益率待核实；Q3 业绩比较基准收益 1.16%）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2026-10-12T13:12:37Z</dcterms:created>
  <dcterms:modified xmlns:dcterms="http://purl.org/dc/terms/" xmlns:xsi="http://www.w3.org/2001/XMLSchema-instance" xsi:type="dcterms:W3CDTF">2026-10-12T13:12:37Z</dcterms:modified>
</cp:coreProperties>
</file>