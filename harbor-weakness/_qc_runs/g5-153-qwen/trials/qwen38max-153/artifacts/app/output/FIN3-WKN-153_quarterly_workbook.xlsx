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Holdings_Summary" sheetId="2" state="visible" r:id="rId2"/>
    <sheet xmlns:r="http://schemas.openxmlformats.org/officeDocument/2006/relationships" name="Valuation_Recalc" sheetId="3" state="visible" r:id="rId3"/>
    <sheet xmlns:r="http://schemas.openxmlformats.org/officeDocument/2006/relationships" name="Nav_Bridge" sheetId="4" state="visible" r:id="rId4"/>
    <sheet xmlns:r="http://schemas.openxmlformats.org/officeDocument/2006/relationships" name="Compliance_Check" sheetId="5" state="visible" r:id="rId5"/>
    <sheet xmlns:r="http://schemas.openxmlformats.org/officeDocument/2006/relationships" name="Issue_Log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Prev_Report_Fix" sheetId="8" state="visible" r:id="rId8"/>
    <sheet xmlns:r="http://schemas.openxmlformats.org/officeDocument/2006/relationships" name="Price_Joi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i val="1"/>
      <color rgb="00595959"/>
      <sz val="9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7" customWidth="1" min="4" max="4"/>
    <col width="17" customWidth="1" min="5" max="5"/>
    <col width="12" customWidth="1" min="6" max="6"/>
    <col width="18" customWidth="1" min="7" max="7"/>
    <col width="22" customWidth="1" min="8" max="8"/>
  </cols>
  <sheetData>
    <row r="1">
      <c r="A1" s="1" t="inlineStr">
        <is>
          <t>A. 材料清点（估值日 2026-09-30；材料截止时点 2026-10-08；来源 00_README.md / manifest.csv）</t>
        </is>
      </c>
    </row>
    <row r="2">
      <c r="A2" s="2" t="inlineStr">
        <is>
          <t>目录</t>
        </is>
      </c>
      <c r="B2" s="2" t="inlineStr">
        <is>
          <t>用途</t>
        </is>
      </c>
      <c r="C2" s="2" t="inlineStr">
        <is>
          <t>文件数</t>
        </is>
      </c>
    </row>
    <row r="3">
      <c r="A3" t="inlineStr">
        <is>
          <t>compliance/</t>
        </is>
      </c>
      <c r="B3" t="inlineStr">
        <is>
          <t>限额监测与违约记录</t>
        </is>
      </c>
      <c r="C3" t="n">
        <v>3</v>
      </c>
    </row>
    <row r="4">
      <c r="A4" t="inlineStr">
        <is>
          <t>data/</t>
        </is>
      </c>
      <c r="B4" t="inlineStr">
        <is>
          <t>行情与基准数据</t>
        </is>
      </c>
      <c r="C4" t="n">
        <v>3</v>
      </c>
    </row>
    <row r="5">
      <c r="A5" t="inlineStr">
        <is>
          <t>internal/</t>
        </is>
      </c>
      <c r="B5" t="inlineStr">
        <is>
          <t>数据字典、运营邮件、投资经理说明与决策纪要</t>
        </is>
      </c>
      <c r="C5" t="n">
        <v>4</v>
      </c>
    </row>
    <row r="6">
      <c r="A6" t="inlineStr">
        <is>
          <t>portfolio/</t>
        </is>
      </c>
      <c r="B6" t="inlineStr">
        <is>
          <t>期末持仓明细与证券主数据</t>
        </is>
      </c>
      <c r="C6" t="n">
        <v>2</v>
      </c>
    </row>
    <row r="7">
      <c r="A7" t="inlineStr">
        <is>
          <t>reports/</t>
        </is>
      </c>
      <c r="B7" t="inlineStr">
        <is>
          <t>历史期间投资运作报告与模板</t>
        </is>
      </c>
      <c r="C7" t="n">
        <v>3</v>
      </c>
    </row>
    <row r="8">
      <c r="A8" t="inlineStr">
        <is>
          <t>rules/</t>
        </is>
      </c>
      <c r="B8" t="inlineStr">
        <is>
          <t>投资限制、对账流程与流动性制度（以现行版本为准）</t>
        </is>
      </c>
      <c r="C8" t="n">
        <v>4</v>
      </c>
    </row>
    <row r="9">
      <c r="A9" t="inlineStr">
        <is>
          <t>valuation/</t>
        </is>
      </c>
      <c r="B9" t="inlineStr">
        <is>
          <t>净值报告、计提明细、银行对账单</t>
        </is>
      </c>
      <c r="C9" t="n">
        <v>4</v>
      </c>
    </row>
    <row r="10">
      <c r="A10" t="inlineStr">
        <is>
          <t>（根目录散件）</t>
        </is>
      </c>
      <c r="B10" t="inlineStr">
        <is>
          <t>00_README.md、manifest.csv</t>
        </is>
      </c>
      <c r="C10" t="n">
        <v>2</v>
      </c>
    </row>
    <row r="11">
      <c r="A11" t="inlineStr">
        <is>
          <t>分目录小计</t>
        </is>
      </c>
      <c r="B11" t="inlineStr">
        <is>
          <t>portfolio+valuation+data+rules+reports+compliance+internal</t>
        </is>
      </c>
      <c r="C11" t="n">
        <v>23</v>
      </c>
    </row>
    <row r="12">
      <c r="A12" t="inlineStr">
        <is>
          <t>文件总数</t>
        </is>
      </c>
      <c r="B12">
        <f> 分目录小计 + 根散件 = 23 + 2</f>
        <v/>
      </c>
      <c r="C12" t="n">
        <v>25</v>
      </c>
    </row>
    <row r="13">
      <c r="A13" t="inlineStr">
        <is>
          <t>来源目录数</t>
        </is>
      </c>
      <c r="B13" t="inlineStr">
        <is>
          <t>manifest.csv 所列目录</t>
        </is>
      </c>
      <c r="C13" t="n">
        <v>7</v>
      </c>
    </row>
    <row r="14">
      <c r="A14" t="inlineStr">
        <is>
          <t>勾稽差（总数−小计−根散件）</t>
        </is>
      </c>
      <c r="B14" t="inlineStr">
        <is>
          <t>须为 0</t>
        </is>
      </c>
      <c r="C14" t="n">
        <v>0</v>
      </c>
    </row>
    <row r="16">
      <c r="A16" s="1" t="inlineStr">
        <is>
          <t>B. 持仓覆盖：十个账户 sheet 逐表行数与市值（portfolio/holdings_2026Q3.xlsx）</t>
        </is>
      </c>
    </row>
    <row r="17">
      <c r="A17" s="3" t="inlineStr">
        <is>
          <t>非账户 sheet 3 个（readme、q2_roll、contact）不纳入持仓汇总；q2_roll 已归档、仅作历史链接</t>
        </is>
      </c>
    </row>
    <row r="18">
      <c r="A18" s="2" t="inlineStr">
        <is>
          <t>账户sheet</t>
        </is>
      </c>
      <c r="B18" s="2" t="inlineStr">
        <is>
          <t>原始行数</t>
        </is>
      </c>
      <c r="C18" s="2" t="inlineStr">
        <is>
          <t>剔除1_非估值日</t>
        </is>
      </c>
      <c r="D18" s="2" t="inlineStr">
        <is>
          <t>剔除2_主数据非active</t>
        </is>
      </c>
      <c r="E18" s="2" t="inlineStr">
        <is>
          <t>剔除3_重复上报</t>
        </is>
      </c>
      <c r="F18" s="2" t="inlineStr">
        <is>
          <t>有效行数</t>
        </is>
      </c>
      <c r="G18" s="2" t="inlineStr">
        <is>
          <t>有效市值(元)</t>
        </is>
      </c>
      <c r="H18" s="2" t="inlineStr">
        <is>
          <t>勾稽差(原始−三剔除−有效)</t>
        </is>
      </c>
    </row>
    <row r="19">
      <c r="A19" t="inlineStr">
        <is>
          <t>acct_01</t>
        </is>
      </c>
      <c r="B19" t="n">
        <v>42</v>
      </c>
      <c r="C19" t="n">
        <v>0</v>
      </c>
      <c r="D19" t="n">
        <v>1</v>
      </c>
      <c r="E19" t="n">
        <v>1</v>
      </c>
      <c r="F19" t="n">
        <v>40</v>
      </c>
      <c r="G19" s="4" t="n">
        <v>209239044.02</v>
      </c>
      <c r="H19" t="n">
        <v>0</v>
      </c>
    </row>
    <row r="20">
      <c r="A20" t="inlineStr">
        <is>
          <t>acct_02</t>
        </is>
      </c>
      <c r="B20" t="n">
        <v>36</v>
      </c>
      <c r="C20" t="n">
        <v>1</v>
      </c>
      <c r="D20" t="n">
        <v>1</v>
      </c>
      <c r="E20" t="n">
        <v>0</v>
      </c>
      <c r="F20" t="n">
        <v>34</v>
      </c>
      <c r="G20" s="4" t="n">
        <v>155264324.09</v>
      </c>
      <c r="H20" t="n">
        <v>0</v>
      </c>
    </row>
    <row r="21">
      <c r="A21" t="inlineStr">
        <is>
          <t>acct_03</t>
        </is>
      </c>
      <c r="B21" t="n">
        <v>38</v>
      </c>
      <c r="C21" t="n">
        <v>0</v>
      </c>
      <c r="D21" t="n">
        <v>1</v>
      </c>
      <c r="E21" t="n">
        <v>1</v>
      </c>
      <c r="F21" t="n">
        <v>36</v>
      </c>
      <c r="G21" s="4" t="n">
        <v>181479578.8</v>
      </c>
      <c r="H21" t="n">
        <v>0</v>
      </c>
    </row>
    <row r="22">
      <c r="A22" t="inlineStr">
        <is>
          <t>acct_04</t>
        </is>
      </c>
      <c r="B22" t="n">
        <v>34</v>
      </c>
      <c r="C22" t="n">
        <v>1</v>
      </c>
      <c r="D22" t="n">
        <v>1</v>
      </c>
      <c r="E22" t="n">
        <v>0</v>
      </c>
      <c r="F22" t="n">
        <v>32</v>
      </c>
      <c r="G22" s="4" t="n">
        <v>168645003.1</v>
      </c>
      <c r="H22" t="n">
        <v>0</v>
      </c>
    </row>
    <row r="23">
      <c r="A23" t="inlineStr">
        <is>
          <t>acct_05</t>
        </is>
      </c>
      <c r="B23" t="n">
        <v>28</v>
      </c>
      <c r="C23" t="n">
        <v>1</v>
      </c>
      <c r="D23" t="n">
        <v>1</v>
      </c>
      <c r="E23" t="n">
        <v>0</v>
      </c>
      <c r="F23" t="n">
        <v>26</v>
      </c>
      <c r="G23" s="4" t="n">
        <v>114732052.51</v>
      </c>
      <c r="H23" t="n">
        <v>0</v>
      </c>
    </row>
    <row r="24">
      <c r="A24" t="inlineStr">
        <is>
          <t>acct_06</t>
        </is>
      </c>
      <c r="B24" t="n">
        <v>23</v>
      </c>
      <c r="C24" t="n">
        <v>0</v>
      </c>
      <c r="D24" t="n">
        <v>0</v>
      </c>
      <c r="E24" t="n">
        <v>1</v>
      </c>
      <c r="F24" t="n">
        <v>22</v>
      </c>
      <c r="G24" s="4" t="n">
        <v>100409672.3</v>
      </c>
      <c r="H24" t="n">
        <v>0</v>
      </c>
    </row>
    <row r="25">
      <c r="A25" t="inlineStr">
        <is>
          <t>acct_07</t>
        </is>
      </c>
      <c r="B25" t="n">
        <v>25</v>
      </c>
      <c r="C25" t="n">
        <v>1</v>
      </c>
      <c r="D25" t="n">
        <v>0</v>
      </c>
      <c r="E25" t="n">
        <v>0</v>
      </c>
      <c r="F25" t="n">
        <v>24</v>
      </c>
      <c r="G25" s="4" t="n">
        <v>67492347.09999999</v>
      </c>
      <c r="H25" t="n">
        <v>0</v>
      </c>
    </row>
    <row r="26">
      <c r="A26" t="inlineStr">
        <is>
          <t>acct_08</t>
        </is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s="4" t="n">
        <v>53760000</v>
      </c>
      <c r="H26" t="n">
        <v>0</v>
      </c>
    </row>
    <row r="27">
      <c r="A27" t="inlineStr">
        <is>
          <t>acct_09</t>
        </is>
      </c>
      <c r="B27" t="n">
        <v>31</v>
      </c>
      <c r="C27" t="n">
        <v>1</v>
      </c>
      <c r="D27" t="n">
        <v>0</v>
      </c>
      <c r="E27" t="n">
        <v>0</v>
      </c>
      <c r="F27" t="n">
        <v>30</v>
      </c>
      <c r="G27" s="4" t="n">
        <v>135029631.2</v>
      </c>
      <c r="H27" t="n">
        <v>0</v>
      </c>
    </row>
    <row r="28">
      <c r="A28" t="inlineStr">
        <is>
          <t>acct_10</t>
        </is>
      </c>
      <c r="B28" t="n">
        <v>34</v>
      </c>
      <c r="C28" t="n">
        <v>1</v>
      </c>
      <c r="D28" t="n">
        <v>0</v>
      </c>
      <c r="E28" t="n">
        <v>1</v>
      </c>
      <c r="F28" t="n">
        <v>32</v>
      </c>
      <c r="G28" s="4" t="n">
        <v>109302093.24</v>
      </c>
      <c r="H28" t="n">
        <v>0</v>
      </c>
    </row>
    <row r="29">
      <c r="A29" t="inlineStr">
        <is>
          <t>合计</t>
        </is>
      </c>
      <c r="B29" t="n">
        <v>295</v>
      </c>
      <c r="C29" t="n">
        <v>6</v>
      </c>
      <c r="D29" t="n">
        <v>5</v>
      </c>
      <c r="E29" t="n">
        <v>4</v>
      </c>
      <c r="F29" t="n">
        <v>280</v>
      </c>
      <c r="G29" s="4" t="n">
        <v>1295353746.36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8" customWidth="1" min="4" max="4"/>
    <col width="15" customWidth="1" min="5" max="5"/>
  </cols>
  <sheetData>
    <row r="1">
      <c r="A1" s="1" t="inlineStr">
        <is>
          <t>A. 按券种汇总（有效持仓口径，估值日 2026-09-30）</t>
        </is>
      </c>
    </row>
    <row r="2">
      <c r="A2" s="2" t="inlineStr">
        <is>
          <t>券种代码</t>
        </is>
      </c>
      <c r="B2" s="2" t="inlineStr">
        <is>
          <t>券种名称</t>
        </is>
      </c>
      <c r="C2" s="2" t="inlineStr">
        <is>
          <t>有效行数</t>
        </is>
      </c>
      <c r="D2" s="2" t="inlineStr">
        <is>
          <t>市值(元)</t>
        </is>
      </c>
      <c r="E2" s="2" t="inlineStr">
        <is>
          <t>占净值比例(%)</t>
        </is>
      </c>
    </row>
    <row r="3">
      <c r="A3" t="inlineStr">
        <is>
          <t>GovtBond</t>
        </is>
      </c>
      <c r="B3" t="inlineStr">
        <is>
          <t>国债</t>
        </is>
      </c>
      <c r="C3" t="n">
        <v>22</v>
      </c>
      <c r="D3" s="4" t="n">
        <v>122895903</v>
      </c>
      <c r="E3" s="5" t="n">
        <v>9.15</v>
      </c>
    </row>
    <row r="4">
      <c r="A4" t="inlineStr">
        <is>
          <t>PolicyBankBond</t>
        </is>
      </c>
      <c r="B4" t="inlineStr">
        <is>
          <t>政策性金融债</t>
        </is>
      </c>
      <c r="C4" t="n">
        <v>66</v>
      </c>
      <c r="D4" s="4" t="n">
        <v>306901663.1</v>
      </c>
      <c r="E4" s="5" t="n">
        <v>22.86</v>
      </c>
    </row>
    <row r="5">
      <c r="A5" t="inlineStr">
        <is>
          <t>CreditBond</t>
        </is>
      </c>
      <c r="B5" t="inlineStr">
        <is>
          <t>中期票据</t>
        </is>
      </c>
      <c r="C5" t="n">
        <v>113</v>
      </c>
      <c r="D5" s="4" t="n">
        <v>507956942.5</v>
      </c>
      <c r="E5" s="5" t="n">
        <v>37.84</v>
      </c>
    </row>
    <row r="6">
      <c r="A6" t="inlineStr">
        <is>
          <t>InterbankCD</t>
        </is>
      </c>
      <c r="B6" t="inlineStr">
        <is>
          <t>同业存单</t>
        </is>
      </c>
      <c r="C6" t="n">
        <v>30</v>
      </c>
      <c r="D6" s="4" t="n">
        <v>134059767.06</v>
      </c>
      <c r="E6" s="5" t="n">
        <v>9.99</v>
      </c>
    </row>
    <row r="7">
      <c r="A7" t="inlineStr">
        <is>
          <t>EquityFund</t>
        </is>
      </c>
      <c r="B7" t="inlineStr">
        <is>
          <t>权益型指数基金</t>
        </is>
      </c>
      <c r="C7" t="n">
        <v>23</v>
      </c>
      <c r="D7" s="4" t="n">
        <v>102478344</v>
      </c>
      <c r="E7" s="5" t="n">
        <v>7.63</v>
      </c>
    </row>
    <row r="8">
      <c r="A8" t="inlineStr">
        <is>
          <t>ConvertBond</t>
        </is>
      </c>
      <c r="B8" t="inlineStr">
        <is>
          <t>可转换债</t>
        </is>
      </c>
      <c r="C8" t="n">
        <v>21</v>
      </c>
      <c r="D8" s="4" t="n">
        <v>60641126.7</v>
      </c>
      <c r="E8" s="5" t="n">
        <v>4.52</v>
      </c>
    </row>
    <row r="9">
      <c r="A9" t="inlineStr">
        <is>
          <t>NonStdAsset</t>
        </is>
      </c>
      <c r="B9" t="inlineStr">
        <is>
          <t>资产支持专项计划</t>
        </is>
      </c>
      <c r="C9" t="n">
        <v>5</v>
      </c>
      <c r="D9" s="4" t="n">
        <v>60420000</v>
      </c>
      <c r="E9" s="5" t="n">
        <v>4.5</v>
      </c>
    </row>
    <row r="10">
      <c r="A10" t="inlineStr">
        <is>
          <t>合计</t>
        </is>
      </c>
      <c r="B10" t="inlineStr"/>
      <c r="C10" t="n">
        <v>280</v>
      </c>
      <c r="D10" s="4" t="n">
        <v>1295353746.36</v>
      </c>
      <c r="E10" s="5" t="n">
        <v>96.48999999999999</v>
      </c>
    </row>
    <row r="12">
      <c r="A12" s="1" t="inlineStr">
        <is>
          <t>B. 按资金账户汇总（十个账户）</t>
        </is>
      </c>
    </row>
    <row r="13">
      <c r="A13" s="2" t="inlineStr">
        <is>
          <t>账户sheet</t>
        </is>
      </c>
      <c r="B13" s="2" t="inlineStr">
        <is>
          <t>有效行数</t>
        </is>
      </c>
      <c r="C13" s="2" t="inlineStr">
        <is>
          <t>市值(元)</t>
        </is>
      </c>
      <c r="D13" s="2" t="inlineStr">
        <is>
          <t>占净值比例(%)</t>
        </is>
      </c>
    </row>
    <row r="14">
      <c r="A14" t="inlineStr">
        <is>
          <t>acct_01</t>
        </is>
      </c>
      <c r="B14" t="n">
        <v>40</v>
      </c>
      <c r="C14" s="4" t="n">
        <v>209239044.02</v>
      </c>
      <c r="D14" s="5" t="n">
        <v>15.59</v>
      </c>
    </row>
    <row r="15">
      <c r="A15" t="inlineStr">
        <is>
          <t>acct_02</t>
        </is>
      </c>
      <c r="B15" t="n">
        <v>34</v>
      </c>
      <c r="C15" s="4" t="n">
        <v>155264324.09</v>
      </c>
      <c r="D15" s="5" t="n">
        <v>11.57</v>
      </c>
    </row>
    <row r="16">
      <c r="A16" t="inlineStr">
        <is>
          <t>acct_03</t>
        </is>
      </c>
      <c r="B16" t="n">
        <v>36</v>
      </c>
      <c r="C16" s="4" t="n">
        <v>181479578.8</v>
      </c>
      <c r="D16" s="5" t="n">
        <v>13.52</v>
      </c>
    </row>
    <row r="17">
      <c r="A17" t="inlineStr">
        <is>
          <t>acct_04</t>
        </is>
      </c>
      <c r="B17" t="n">
        <v>32</v>
      </c>
      <c r="C17" s="4" t="n">
        <v>168645003.1</v>
      </c>
      <c r="D17" s="5" t="n">
        <v>12.56</v>
      </c>
    </row>
    <row r="18">
      <c r="A18" t="inlineStr">
        <is>
          <t>acct_05</t>
        </is>
      </c>
      <c r="B18" t="n">
        <v>26</v>
      </c>
      <c r="C18" s="4" t="n">
        <v>114732052.51</v>
      </c>
      <c r="D18" s="5" t="n">
        <v>8.550000000000001</v>
      </c>
    </row>
    <row r="19">
      <c r="A19" t="inlineStr">
        <is>
          <t>acct_06</t>
        </is>
      </c>
      <c r="B19" t="n">
        <v>22</v>
      </c>
      <c r="C19" s="4" t="n">
        <v>100409672.3</v>
      </c>
      <c r="D19" s="5" t="n">
        <v>7.48</v>
      </c>
    </row>
    <row r="20">
      <c r="A20" t="inlineStr">
        <is>
          <t>acct_07</t>
        </is>
      </c>
      <c r="B20" t="n">
        <v>24</v>
      </c>
      <c r="C20" s="4" t="n">
        <v>67492347.09999999</v>
      </c>
      <c r="D20" s="5" t="n">
        <v>5.03</v>
      </c>
    </row>
    <row r="21">
      <c r="A21" t="inlineStr">
        <is>
          <t>acct_08</t>
        </is>
      </c>
      <c r="B21" t="n">
        <v>4</v>
      </c>
      <c r="C21" s="4" t="n">
        <v>53760000</v>
      </c>
      <c r="D21" s="5" t="n">
        <v>4</v>
      </c>
    </row>
    <row r="22">
      <c r="A22" t="inlineStr">
        <is>
          <t>acct_09</t>
        </is>
      </c>
      <c r="B22" t="n">
        <v>30</v>
      </c>
      <c r="C22" s="4" t="n">
        <v>135029631.2</v>
      </c>
      <c r="D22" s="5" t="n">
        <v>10.06</v>
      </c>
    </row>
    <row r="23">
      <c r="A23" t="inlineStr">
        <is>
          <t>acct_10</t>
        </is>
      </c>
      <c r="B23" t="n">
        <v>32</v>
      </c>
      <c r="C23" s="4" t="n">
        <v>109302093.24</v>
      </c>
      <c r="D23" s="5" t="n">
        <v>8.140000000000001</v>
      </c>
    </row>
    <row r="24">
      <c r="A24" t="inlineStr">
        <is>
          <t>合计</t>
        </is>
      </c>
      <c r="B24" t="n">
        <v>280</v>
      </c>
      <c r="C24" s="4" t="n">
        <v>1295353746.36</v>
      </c>
      <c r="D24" s="5" t="n">
        <v>96.48999999999999</v>
      </c>
    </row>
    <row r="25">
      <c r="A25" s="3" t="inlineStr">
        <is>
          <t>折算口径（internal/data_dictionary.md §2）：债券/非标 市值=vol×close_price/100；权益型基金 市值=vol×close_price</t>
        </is>
      </c>
    </row>
    <row r="26">
      <c r="A26" s="3" t="inlineStr">
        <is>
          <t>勾稽：券种合计 = 账户合计 = 有效持仓市值 1,295,353,746.36 元，与 Valuation_Recalc 第 1 行一致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88" customWidth="1" min="4" max="4"/>
    <col width="46" customWidth="1" min="5" max="5"/>
  </cols>
  <sheetData>
    <row r="1">
      <c r="A1" s="1" t="inlineStr">
        <is>
          <t>净值复核推导链（每行带列报值；金额单位：元）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列报值</t>
        </is>
      </c>
      <c r="D2" s="2" t="inlineStr">
        <is>
          <t>算式/说明</t>
        </is>
      </c>
      <c r="E2" s="2" t="inlineStr">
        <is>
          <t>数据来源</t>
        </is>
      </c>
    </row>
    <row r="3">
      <c r="A3" t="n">
        <v>1</v>
      </c>
      <c r="B3" t="inlineStr">
        <is>
          <t>有效持仓市值 A</t>
        </is>
      </c>
      <c r="C3" s="4" t="n">
        <v>1295353746.36</v>
      </c>
      <c r="D3" t="inlineStr">
        <is>
          <t>Σ(280 行有效持仓 × 估值日行情折算) = 1,295,353,746.36</t>
        </is>
      </c>
      <c r="E3" t="inlineStr">
        <is>
          <t>portfolio/holdings_2026Q3.xlsx + data/price_feed_20260930_repush.csv</t>
        </is>
      </c>
    </row>
    <row r="4">
      <c r="A4" t="n">
        <v>2</v>
      </c>
      <c r="B4" t="inlineStr">
        <is>
          <t>加：现金及清算备付金 B</t>
        </is>
      </c>
      <c r="C4" s="4" t="n">
        <v>45645475.03</v>
      </c>
      <c r="D4" t="inlineStr">
        <is>
          <t>托管行报告列报值</t>
        </is>
      </c>
      <c r="E4" t="inlineStr">
        <is>
          <t>valuation/nav_report_20260930.csv</t>
        </is>
      </c>
    </row>
    <row r="5">
      <c r="A5" t="n">
        <v>3</v>
      </c>
      <c r="B5" t="inlineStr">
        <is>
          <t>加：应收利息 C1</t>
        </is>
      </c>
      <c r="C5" s="4" t="n">
        <v>3412800</v>
      </c>
      <c r="D5" t="inlineStr">
        <is>
          <t>计提期间 2026-07-01~2026-09-30</t>
        </is>
      </c>
      <c r="E5" t="inlineStr">
        <is>
          <t>valuation/accruals_20260930.csv</t>
        </is>
      </c>
    </row>
    <row r="6">
      <c r="A6" t="n">
        <v>4</v>
      </c>
      <c r="B6" t="inlineStr">
        <is>
          <t>加：应收红利 C2</t>
        </is>
      </c>
      <c r="C6" s="4" t="n">
        <v>865400</v>
      </c>
      <c r="D6" t="inlineStr">
        <is>
          <t>计提期间 2026-07-01~2026-09-30</t>
        </is>
      </c>
      <c r="E6" t="inlineStr">
        <is>
          <t>valuation/accruals_20260930.csv</t>
        </is>
      </c>
    </row>
    <row r="7">
      <c r="A7" t="n">
        <v>5</v>
      </c>
      <c r="B7" t="inlineStr">
        <is>
          <t>减：应付管理人报酬 D1</t>
        </is>
      </c>
      <c r="C7" s="4" t="n">
        <v>1842300</v>
      </c>
      <c r="D7" t="inlineStr">
        <is>
          <t>计提期间 2026-07-01~2026-09-30</t>
        </is>
      </c>
      <c r="E7" t="inlineStr">
        <is>
          <t>valuation/accruals_20260930.csv</t>
        </is>
      </c>
    </row>
    <row r="8">
      <c r="A8" t="n">
        <v>6</v>
      </c>
      <c r="B8" t="inlineStr">
        <is>
          <t>减：应付托管费 D2</t>
        </is>
      </c>
      <c r="C8" s="4" t="n">
        <v>614100</v>
      </c>
      <c r="D8" t="inlineStr">
        <is>
          <t>计提期间 2026-07-01~2026-09-30</t>
        </is>
      </c>
      <c r="E8" t="inlineStr">
        <is>
          <t>valuation/accruals_20260930.csv</t>
        </is>
      </c>
    </row>
    <row r="9">
      <c r="A9" t="n">
        <v>7</v>
      </c>
      <c r="B9" t="inlineStr">
        <is>
          <t>减：应付销售服务费 D3</t>
        </is>
      </c>
      <c r="C9" s="4" t="n">
        <v>307050</v>
      </c>
      <c r="D9" t="inlineStr">
        <is>
          <t>计提期间 2026-07-01~2026-09-30</t>
        </is>
      </c>
      <c r="E9" t="inlineStr">
        <is>
          <t>valuation/accruals_20260930.csv</t>
        </is>
      </c>
    </row>
    <row r="10">
      <c r="A10" t="n">
        <v>8</v>
      </c>
      <c r="B10" t="inlineStr">
        <is>
          <t>资产净值（复核）E</t>
        </is>
      </c>
      <c r="C10" s="4" t="n">
        <v>1342513971.39</v>
      </c>
      <c r="D10" t="inlineStr">
        <is>
          <t>E = A+B+C1+C2−D1−D2−D3 = 1,295,353,746.36+45,645,475.03+3,412,800.00+865,400.00−1,842,300.00−614,100.00−307,050.00</t>
        </is>
      </c>
      <c r="E10" t="inlineStr">
        <is>
          <t>本表上行计算</t>
        </is>
      </c>
    </row>
    <row r="11">
      <c r="A11" t="n">
        <v>9</v>
      </c>
      <c r="B11" t="inlineStr">
        <is>
          <t>资产净值（托管行列报）F</t>
        </is>
      </c>
      <c r="C11" s="4" t="n">
        <v>1342513971.39</v>
      </c>
      <c r="D11" t="inlineStr">
        <is>
          <t>差额 E − F = 0.00 元</t>
        </is>
      </c>
      <c r="E11" t="inlineStr">
        <is>
          <t>valuation/nav_report_20260930.csv</t>
        </is>
      </c>
    </row>
    <row r="12">
      <c r="A12" t="n">
        <v>10</v>
      </c>
      <c r="B12" t="inlineStr">
        <is>
          <t>计划总份额 G</t>
        </is>
      </c>
      <c r="C12" s="4" t="n">
        <v>1250000000</v>
      </c>
      <c r="D12" t="inlineStr">
        <is>
          <t>托管行报告列报值</t>
        </is>
      </c>
      <c r="E12" t="inlineStr">
        <is>
          <t>valuation/nav_report_20260930.csv</t>
        </is>
      </c>
    </row>
    <row r="13">
      <c r="A13" t="n">
        <v>11</v>
      </c>
      <c r="B13" t="inlineStr">
        <is>
          <t>单位净值（复核）H</t>
        </is>
      </c>
      <c r="C13" s="6" t="n">
        <v>1.074011</v>
      </c>
      <c r="D13" t="inlineStr">
        <is>
          <t>H = E ÷ G = 1,342,513,971.39 ÷ 1,250,000,000.00</t>
        </is>
      </c>
      <c r="E13" t="inlineStr">
        <is>
          <t>本表上行计算</t>
        </is>
      </c>
    </row>
    <row r="14">
      <c r="A14" t="n">
        <v>12</v>
      </c>
      <c r="B14" t="inlineStr">
        <is>
          <t>单位净值（托管行列报）I</t>
        </is>
      </c>
      <c r="C14" s="7" t="n">
        <v>1.074</v>
      </c>
      <c r="D14" t="inlineStr">
        <is>
          <t>差额 (H/I−1)×10^4 = +0.10 bp（托管行四舍五入至 4 位所致）</t>
        </is>
      </c>
      <c r="E14" t="inlineStr">
        <is>
          <t>valuation/nav_report_20260930.csv</t>
        </is>
      </c>
    </row>
    <row r="15">
      <c r="A15" t="n">
        <v>13</v>
      </c>
      <c r="B15" t="inlineStr">
        <is>
          <t>未过滤口径单位净值对照 J</t>
        </is>
      </c>
      <c r="C15" s="6" t="n">
        <v>1.123988</v>
      </c>
      <c r="D15" t="inlineStr">
        <is>
          <t>J = (未过滤市值 1,357,825,148.26 + B + C1+C2 − D1−D2−D3) ÷ G；相对正确口径高估 (J/H−1)×10^4 = +465.33 bp，详见 Nav_Bridge</t>
        </is>
      </c>
      <c r="E15" t="inlineStr">
        <is>
          <t>本脚本计算（对照用）</t>
        </is>
      </c>
    </row>
    <row r="16">
      <c r="A16" t="n">
        <v>14</v>
      </c>
      <c r="B16" t="inlineStr">
        <is>
          <t>2026Q3 计划业绩比较基准收益率</t>
        </is>
      </c>
      <c r="C16" s="7" t="n">
        <v>0.0116</v>
      </c>
      <c r="D16" s="8" t="inlineStr">
        <is>
          <t>参考列报；组合区间收益因期初净值材料不完整，待核实</t>
        </is>
      </c>
      <c r="E16" t="inlineStr">
        <is>
          <t>data/benchmark_returns_2026Q3.csv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20" customWidth="1" min="3" max="3"/>
    <col width="46" customWidth="1" min="4" max="4"/>
  </cols>
  <sheetData>
    <row r="1">
      <c r="A1" s="1" t="inlineStr">
        <is>
          <t>A. 持仓市值口径调整勾稽（未过滤 → 有效口径；三类剔除分列，不合并）</t>
        </is>
      </c>
    </row>
    <row r="2">
      <c r="A2" s="2" t="inlineStr">
        <is>
          <t>项目</t>
        </is>
      </c>
      <c r="B2" s="2" t="inlineStr">
        <is>
          <t>行数</t>
        </is>
      </c>
      <c r="C2" s="2" t="inlineStr">
        <is>
          <t>市值(元)</t>
        </is>
      </c>
      <c r="D2" s="2" t="inlineStr">
        <is>
          <t>说明</t>
        </is>
      </c>
    </row>
    <row r="3">
      <c r="A3" t="inlineStr">
        <is>
          <t>未过滤全表合计（上期旧口径，对照）</t>
        </is>
      </c>
      <c r="B3" t="n">
        <v>295</v>
      </c>
      <c r="C3" s="4" t="n">
        <v>1357825148.26</v>
      </c>
      <c r="D3" t="inlineStr">
        <is>
          <t>全部行 × 估值日行情折算</t>
        </is>
      </c>
    </row>
    <row r="4">
      <c r="A4" t="inlineStr">
        <is>
          <t>剔除1：非估值日（as_of≠2026-09-30）</t>
        </is>
      </c>
      <c r="B4" t="n">
        <v>-6</v>
      </c>
      <c r="C4" s="4" t="n">
        <v>-25774234.5</v>
      </c>
      <c r="D4" t="inlineStr">
        <is>
          <t>runbook §2.1</t>
        </is>
      </c>
    </row>
    <row r="5">
      <c r="A5" t="inlineStr">
        <is>
          <t>剔除2：主数据非 active（matured/called）</t>
        </is>
      </c>
      <c r="B5" t="n">
        <v>-5</v>
      </c>
      <c r="C5" s="4" t="n">
        <v>-25142250</v>
      </c>
      <c r="D5" t="inlineStr">
        <is>
          <t>runbook §2.2</t>
        </is>
      </c>
    </row>
    <row r="6">
      <c r="A6" t="inlineStr">
        <is>
          <t>剔除3：重复上报（acct+sec_code+vol）</t>
        </is>
      </c>
      <c r="B6" t="n">
        <v>-4</v>
      </c>
      <c r="C6" s="4" t="n">
        <v>-11554917.4</v>
      </c>
      <c r="D6" t="inlineStr">
        <is>
          <t>runbook §2.3；source_row_id 升序保留第一条</t>
        </is>
      </c>
    </row>
    <row r="7">
      <c r="A7" t="inlineStr">
        <is>
          <t>有效持仓市值（正确口径）</t>
        </is>
      </c>
      <c r="B7" t="n">
        <v>280</v>
      </c>
      <c r="C7" s="4" t="n">
        <v>1295353746.36</v>
      </c>
      <c r="D7" t="inlineStr">
        <is>
          <t>勾稽差 0.00 元</t>
        </is>
      </c>
    </row>
    <row r="9">
      <c r="A9" s="1" t="inlineStr">
        <is>
          <t>B. 单位净值口径对照（未过滤 vs 正确）</t>
        </is>
      </c>
    </row>
    <row r="10">
      <c r="A10" s="2" t="inlineStr">
        <is>
          <t>口径</t>
        </is>
      </c>
      <c r="B10" s="2" t="inlineStr">
        <is>
          <t>资产净值(元)</t>
        </is>
      </c>
      <c r="C10" s="2" t="inlineStr">
        <is>
          <t>单位净值(元)</t>
        </is>
      </c>
      <c r="D10" s="2" t="inlineStr">
        <is>
          <t>相对正确口径高估(bp)</t>
        </is>
      </c>
    </row>
    <row r="11">
      <c r="A11" t="inlineStr">
        <is>
          <t>未过滤口径（对照）</t>
        </is>
      </c>
      <c r="B11" s="4" t="n">
        <v>1404985373.29</v>
      </c>
      <c r="C11" s="6" t="n">
        <v>1.123988</v>
      </c>
      <c r="D11" s="5" t="n">
        <v>465.33</v>
      </c>
    </row>
    <row r="12">
      <c r="A12" t="inlineStr">
        <is>
          <t>有效口径（正确）</t>
        </is>
      </c>
      <c r="B12" s="4" t="n">
        <v>1342513971.39</v>
      </c>
      <c r="C12" s="6" t="n">
        <v>1.074011</v>
      </c>
      <c r="D12" s="5" t="n">
        <v>0</v>
      </c>
    </row>
    <row r="13">
      <c r="A13" s="3" t="inlineStr">
        <is>
          <t>高估幅度 = (未过滤单位净值 ÷ 正确单位净值 − 1) × 10^4 = +465.33 bp；单位净值绝对差 0.049977 元</t>
        </is>
      </c>
    </row>
    <row r="15">
      <c r="A15" s="1" t="inlineStr">
        <is>
          <t>C. 现金勾稽（银行对账单分账户 vs 托管报告）</t>
        </is>
      </c>
    </row>
    <row r="16">
      <c r="A16" s="2" t="inlineStr">
        <is>
          <t>账户</t>
        </is>
      </c>
      <c r="B16" s="2" t="inlineStr">
        <is>
          <t>账户名称</t>
        </is>
      </c>
      <c r="C16" s="2" t="inlineStr">
        <is>
          <t>期末余额(元)</t>
        </is>
      </c>
      <c r="D16" s="2" t="inlineStr">
        <is>
          <t>as_of</t>
        </is>
      </c>
    </row>
    <row r="17">
      <c r="A17" t="inlineStr">
        <is>
          <t>6220****1188</t>
        </is>
      </c>
      <c r="B17" t="inlineStr">
        <is>
          <t>托管存款专户</t>
        </is>
      </c>
      <c r="C17" s="4" t="n">
        <v>32864742.02</v>
      </c>
      <c r="D17" t="inlineStr">
        <is>
          <t>2026-09-30</t>
        </is>
      </c>
    </row>
    <row r="18">
      <c r="A18" t="inlineStr">
        <is>
          <t>6220****2299</t>
        </is>
      </c>
      <c r="B18" t="inlineStr">
        <is>
          <t>清算备付金账户</t>
        </is>
      </c>
      <c r="C18" s="4" t="n">
        <v>12780733.01</v>
      </c>
      <c r="D18" t="inlineStr">
        <is>
          <t>2026-09-30</t>
        </is>
      </c>
    </row>
    <row r="19">
      <c r="A19" t="inlineStr">
        <is>
          <t>对账单合计</t>
        </is>
      </c>
      <c r="B19" t="inlineStr"/>
      <c r="C19" s="4" t="n">
        <v>45645475.03</v>
      </c>
      <c r="D19" t="inlineStr"/>
    </row>
    <row r="20">
      <c r="A20" t="inlineStr">
        <is>
          <t>托管报告现金及清算备付金</t>
        </is>
      </c>
      <c r="B20" t="inlineStr">
        <is>
          <t>valuation/nav_report_20260930.csv</t>
        </is>
      </c>
      <c r="C20" s="4" t="n">
        <v>45645475.03</v>
      </c>
      <c r="D20" t="inlineStr">
        <is>
          <t>2026-09-30</t>
        </is>
      </c>
    </row>
    <row r="21">
      <c r="A21" t="inlineStr">
        <is>
          <t>差额（对账单合计 − 托管列报）</t>
        </is>
      </c>
      <c r="B21" t="inlineStr">
        <is>
          <t>须为 0</t>
        </is>
      </c>
      <c r="C21" s="4" t="n">
        <v>0</v>
      </c>
      <c r="D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14" customWidth="1" min="4" max="4"/>
    <col width="10" customWidth="1" min="5" max="5"/>
    <col width="10" customWidth="1" min="6" max="6"/>
    <col width="12" customWidth="1" min="7" max="7"/>
    <col width="88" customWidth="1" min="8" max="8"/>
  </cols>
  <sheetData>
    <row r="1">
      <c r="A1" s="1" t="inlineStr">
        <is>
          <t>五项限额逐条测算（现行 v3，生效 2026-09-01；分母 = 计划资产净值总额 1,342,513,971.39 元；分子 = 期末有效持仓，v3 第 2/3 条）</t>
        </is>
      </c>
    </row>
    <row r="2">
      <c r="A2" s="2" t="inlineStr">
        <is>
          <t>指标</t>
        </is>
      </c>
      <c r="B2" s="2" t="inlineStr">
        <is>
          <t>条款号(v3)</t>
        </is>
      </c>
      <c r="C2" s="2" t="inlineStr">
        <is>
          <t>测算值(元)</t>
        </is>
      </c>
      <c r="D2" s="2" t="inlineStr">
        <is>
          <t>测算比例(%)</t>
        </is>
      </c>
      <c r="E2" s="2" t="inlineStr">
        <is>
          <t>限额(%)</t>
        </is>
      </c>
      <c r="F2" s="2" t="inlineStr">
        <is>
          <t>比较方向</t>
        </is>
      </c>
      <c r="G2" s="2" t="inlineStr">
        <is>
          <t>结论</t>
        </is>
      </c>
      <c r="H2" s="2" t="inlineStr">
        <is>
          <t>算式</t>
        </is>
      </c>
    </row>
    <row r="3">
      <c r="A3" t="inlineStr">
        <is>
          <t>单一证券集中度（102600003.IB 华骏集团2026年第3期中期票据）</t>
        </is>
      </c>
      <c r="B3" t="inlineStr">
        <is>
          <t>第4条(R-01)</t>
        </is>
      </c>
      <c r="C3" s="4" t="n">
        <v>161214619.6</v>
      </c>
      <c r="D3" s="5" t="n">
        <v>12.01</v>
      </c>
      <c r="E3" s="5" t="n">
        <v>10</v>
      </c>
      <c r="F3" t="inlineStr">
        <is>
          <t>≤上限</t>
        </is>
      </c>
      <c r="G3" s="8" t="inlineStr">
        <is>
          <t>超限</t>
        </is>
      </c>
      <c r="H3" t="inlineStr">
        <is>
          <t>102600003.IB 市值 161,214,619.60 ÷ 净值 1,342,513,971.39</t>
        </is>
      </c>
    </row>
    <row r="4">
      <c r="A4" t="inlineStr">
        <is>
          <t>单一发行人集中度（华骏集团）</t>
        </is>
      </c>
      <c r="B4" t="inlineStr">
        <is>
          <t>第5条(R-02)</t>
        </is>
      </c>
      <c r="C4" s="4" t="n">
        <v>161214619.6</v>
      </c>
      <c r="D4" s="5" t="n">
        <v>12.01</v>
      </c>
      <c r="E4" s="5" t="n">
        <v>15</v>
      </c>
      <c r="F4" t="inlineStr">
        <is>
          <t>≤上限</t>
        </is>
      </c>
      <c r="G4" t="inlineStr">
        <is>
          <t>合规</t>
        </is>
      </c>
      <c r="H4" t="inlineStr">
        <is>
          <t>发行人 华骏集团 有效持仓合计 161,214,619.60 ÷ 净值</t>
        </is>
      </c>
    </row>
    <row r="5">
      <c r="A5" t="inlineStr">
        <is>
          <t>非标资产比例（sec_type=NonStdAsset）</t>
        </is>
      </c>
      <c r="B5" t="inlineStr">
        <is>
          <t>第6条(R-03)</t>
        </is>
      </c>
      <c r="C5" s="4" t="n">
        <v>60420000</v>
      </c>
      <c r="D5" s="5" t="n">
        <v>4.5</v>
      </c>
      <c r="E5" s="5" t="n">
        <v>5</v>
      </c>
      <c r="F5" t="inlineStr">
        <is>
          <t>≤上限</t>
        </is>
      </c>
      <c r="G5" t="inlineStr">
        <is>
          <t>合规</t>
        </is>
      </c>
      <c r="H5" t="inlineStr">
        <is>
          <t>NonStdAsset 合计 60,420,000.00 ÷ 净值</t>
        </is>
      </c>
    </row>
    <row r="6">
      <c r="A6" t="inlineStr">
        <is>
          <t>现金类资产比例（含清算备付金，托管行口径）</t>
        </is>
      </c>
      <c r="B6" t="inlineStr">
        <is>
          <t>第7条(R-05)</t>
        </is>
      </c>
      <c r="C6" s="4" t="n">
        <v>45645475.03</v>
      </c>
      <c r="D6" s="5" t="n">
        <v>3.4</v>
      </c>
      <c r="E6" s="5" t="n">
        <v>3</v>
      </c>
      <c r="F6" t="inlineStr">
        <is>
          <t>≥下限</t>
        </is>
      </c>
      <c r="G6" t="inlineStr">
        <is>
          <t>合规</t>
        </is>
      </c>
      <c r="H6" t="inlineStr">
        <is>
          <t>托管行现金及清算备付金 45,645,475.03 ÷ 净值</t>
        </is>
      </c>
    </row>
    <row r="7">
      <c r="A7" t="inlineStr">
        <is>
          <t>权益型基金比例（sec_type=EquityFund）</t>
        </is>
      </c>
      <c r="B7" t="inlineStr">
        <is>
          <t>第8条(R-07)</t>
        </is>
      </c>
      <c r="C7" s="4" t="n">
        <v>102478344</v>
      </c>
      <c r="D7" s="5" t="n">
        <v>7.63</v>
      </c>
      <c r="E7" s="5" t="n">
        <v>20</v>
      </c>
      <c r="F7" t="inlineStr">
        <is>
          <t>≤上限</t>
        </is>
      </c>
      <c r="G7" t="inlineStr">
        <is>
          <t>合规</t>
        </is>
      </c>
      <c r="H7" t="inlineStr">
        <is>
          <t>EquityFund 合计 102,478,344.00 ÷ 净值</t>
        </is>
      </c>
    </row>
    <row r="9">
      <c r="A9" s="1" t="inlineStr">
        <is>
          <t>现金类资产比例交叉核对（rules/liquidity_policy.md）</t>
        </is>
      </c>
    </row>
    <row r="10">
      <c r="A10" s="2" t="inlineStr">
        <is>
          <t>条文</t>
        </is>
      </c>
      <c r="B10" s="2" t="inlineStr">
        <is>
          <t>内容</t>
        </is>
      </c>
      <c r="C10" s="2" t="inlineStr">
        <is>
          <t>与 v3 第7条口径核对</t>
        </is>
      </c>
      <c r="D10" s="2" t="inlineStr">
        <is>
          <t>结论</t>
        </is>
      </c>
    </row>
    <row r="11">
      <c r="A11" t="inlineStr">
        <is>
          <t>流动性制度 第12条</t>
        </is>
      </c>
      <c r="B11" t="inlineStr">
        <is>
          <t>开放式集合计划保持不低于计划资产净值 3% 的现金类资产</t>
        </is>
      </c>
      <c r="C11" t="inlineStr">
        <is>
          <t>下限一致（均 3%）</t>
        </is>
      </c>
      <c r="D11" t="inlineStr">
        <is>
          <t>一致</t>
        </is>
      </c>
    </row>
    <row r="12">
      <c r="A12" t="inlineStr">
        <is>
          <t>流动性制度 第21条</t>
        </is>
      </c>
      <c r="B12" t="inlineStr">
        <is>
          <t>现金类资产界定与投资限制条款第七章保持一致</t>
        </is>
      </c>
      <c r="C12" t="inlineStr">
        <is>
          <t>v3 仅含第一、二、三、四章，无第七章对应条文</t>
        </is>
      </c>
      <c r="D12" s="8" t="inlineStr">
        <is>
          <t>引用悬空，待核实</t>
        </is>
      </c>
    </row>
    <row r="13">
      <c r="A13" t="inlineStr">
        <is>
          <t>v3 第7条</t>
        </is>
      </c>
      <c r="B13" t="inlineStr">
        <is>
          <t>现金类资产（含清算备付金）比例不得低于 3%</t>
        </is>
      </c>
      <c r="C13" t="inlineStr">
        <is>
          <t>本表执行口径（托管行现金及清算备付金）</t>
        </is>
      </c>
      <c r="D13" t="inlineStr">
        <is>
          <t>两处 3% 下限实质一致；定义按 v3 执行</t>
        </is>
      </c>
    </row>
    <row r="15">
      <c r="A15" s="1" t="inlineStr">
        <is>
          <t>超限处置明细（R-01；报告§四正文同步披露）</t>
        </is>
      </c>
    </row>
    <row r="16">
      <c r="A16" s="2" t="inlineStr">
        <is>
          <t>项目</t>
        </is>
      </c>
      <c r="B16" s="2" t="inlineStr">
        <is>
          <t>内容</t>
        </is>
      </c>
    </row>
    <row r="17">
      <c r="A17" t="inlineStr">
        <is>
          <t>证券代码 / 名称</t>
        </is>
      </c>
      <c r="B17" t="inlineStr">
        <is>
          <t>102600003.IB / 华骏集团2026年第3期中期票据</t>
        </is>
      </c>
    </row>
    <row r="18">
      <c r="A18" t="inlineStr">
        <is>
          <t>期末市值(元)</t>
        </is>
      </c>
      <c r="B18" s="4" t="n">
        <v>161214619.6</v>
      </c>
    </row>
    <row r="19">
      <c r="A19" t="inlineStr">
        <is>
          <t>占净值比例(%)</t>
        </is>
      </c>
      <c r="B19" s="4" t="n">
        <v>12.01</v>
      </c>
    </row>
    <row r="20">
      <c r="A20" t="inlineStr">
        <is>
          <t>限额 / 超出</t>
        </is>
      </c>
      <c r="B20" t="inlineStr">
        <is>
          <t>≤10%；超出 2.01 个百分点，超出金额 26,963,222.46 元</t>
        </is>
      </c>
    </row>
    <row r="21">
      <c r="A21" t="inlineStr">
        <is>
          <t>持仓分布</t>
        </is>
      </c>
      <c r="B21" t="inlineStr">
        <is>
          <t>acct_03 139,887,493.80 元；acct_04 16,105,758.60 元；acct_10 5,221,367.20 元</t>
        </is>
      </c>
    </row>
    <row r="22">
      <c r="A22" t="inlineStr">
        <is>
          <t>成因</t>
        </is>
      </c>
      <c r="B22" t="inlineStr">
        <is>
          <t>9 月中旬主动增持（internal/manager_notes.md 第 1 条）；决策纪要批准上限 11%、内部预警线 10.5%，与 v3 硬限 10% 不一致，实测 12.01% 亦超批准上限</t>
        </is>
      </c>
    </row>
    <row r="23">
      <c r="A23" t="inlineStr">
        <is>
          <t>整改动作与时限</t>
        </is>
      </c>
      <c r="B23" s="8" t="inlineStr">
        <is>
          <t>减持该券至占净值 ≤10%（至少压降 26,963,222.46 元市值）；投资经理 T+2 个工作日内提交整改计划（v3 第 9 条）；具体执行排期待核实</t>
        </is>
      </c>
    </row>
    <row r="24">
      <c r="A24" t="inlineStr">
        <is>
          <t>披露要求</t>
        </is>
      </c>
      <c r="B24" s="8" t="inlineStr">
        <is>
          <t>v3 第 9 条：季度报告「投资监督」章节披露超限事实、成因、整改措施与时限——已于报告§四正文披露；第 10 条盘中瞬时超限当日恢复者仅记台账，本期无此类未决事项</t>
        </is>
      </c>
    </row>
    <row r="25">
      <c r="A25" t="inlineStr">
        <is>
          <t>版本适用性</t>
        </is>
      </c>
      <c r="B25" t="inlineStr">
        <is>
          <t>v2（2026-06-01）已被 v3（2026-09-01 生效）替代、仅作历史回溯；v2 归档说明明确 2026Q3 起一律执行 v3，故 v2 限额（R-01 12%、R-03 8%、R-05 2%、R-07 25%）不适用于本期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62" customWidth="1" min="4" max="4"/>
    <col width="36" customWidth="1" min="5" max="5"/>
    <col width="56" customWidth="1" min="6" max="6"/>
    <col width="46" customWidth="1" min="7" max="7"/>
    <col width="10" customWidth="1" min="8" max="8"/>
  </cols>
  <sheetData>
    <row r="1">
      <c r="A1" s="1" t="inlineStr">
        <is>
          <t>数据问题与阻塞台账（七要素，一行一条）</t>
        </is>
      </c>
    </row>
    <row r="2">
      <c r="A2" s="2" t="inlineStr">
        <is>
          <t>编号</t>
        </is>
      </c>
      <c r="B2" s="2" t="inlineStr">
        <is>
          <t>类别</t>
        </is>
      </c>
      <c r="C2" s="2" t="inlineStr">
        <is>
          <t>文件</t>
        </is>
      </c>
      <c r="D2" s="2" t="inlineStr">
        <is>
          <t>现象</t>
        </is>
      </c>
      <c r="E2" s="2" t="inlineStr">
        <is>
          <t>影响</t>
        </is>
      </c>
      <c r="F2" s="2" t="inlineStr">
        <is>
          <t>处置动作</t>
        </is>
      </c>
      <c r="G2" s="2" t="inlineStr">
        <is>
          <t>依据</t>
        </is>
      </c>
      <c r="H2" s="2" t="inlineStr">
        <is>
          <t>状态</t>
        </is>
      </c>
    </row>
    <row r="3">
      <c r="A3" t="inlineStr">
        <is>
          <t>IL-01</t>
        </is>
      </c>
      <c r="B3" t="inlineStr">
        <is>
          <t>行情数据</t>
        </is>
      </c>
      <c r="C3" t="inlineStr">
        <is>
          <t>valuation/price_feed_20260930.csv</t>
        </is>
      </c>
      <c r="D3" t="inlineStr">
        <is>
          <t>估值日行情主件为传输残留空文件（0 条数据），未承载收盘价格</t>
        </is>
      </c>
      <c r="E3" t="inlineStr">
        <is>
          <t>无法自主件取得估值日行情，估值取数阻塞</t>
        </is>
      </c>
      <c r="F3" t="inlineStr">
        <is>
          <t>按数据组邮件以 data/price_feed_20260930_repush.csv 重推件为准</t>
        </is>
      </c>
      <c r="G3" t="inlineStr">
        <is>
          <t>internal/ops_email_20261008.txt；00_README.md 口径优先级第 3 条</t>
        </is>
      </c>
      <c r="H3" t="inlineStr">
        <is>
          <t>已关闭</t>
        </is>
      </c>
    </row>
    <row r="4">
      <c r="A4" t="inlineStr">
        <is>
          <t>IL-02</t>
        </is>
      </c>
      <c r="B4" t="inlineStr">
        <is>
          <t>行情数据</t>
        </is>
      </c>
      <c r="C4" t="inlineStr">
        <is>
          <t>data/price_feed_20260930_repush.csv</t>
        </is>
      </c>
      <c r="D4" t="inlineStr">
        <is>
          <t>重推件混入前一交易日（2026-09-29，批次「原始推送」）记录 5 条，估值日当日 126 条，共 131 条</t>
        </is>
      </c>
      <c r="E4" t="inlineStr">
        <is>
          <t>全表直用将取错价格、市值失真</t>
        </is>
      </c>
      <c r="F4" t="inlineStr">
        <is>
          <t>按 trade_date=2026-09-30 过滤，仅保留估值日当日 126 条</t>
        </is>
      </c>
      <c r="G4" t="inlineStr">
        <is>
          <t>rules/recon_runbook.md §3.3；internal/ops_email_20261008.txt</t>
        </is>
      </c>
      <c r="H4" t="inlineStr">
        <is>
          <t>已关闭</t>
        </is>
      </c>
    </row>
    <row r="5">
      <c r="A5" t="inlineStr">
        <is>
          <t>IL-03</t>
        </is>
      </c>
      <c r="B5" t="inlineStr">
        <is>
          <t>字段口径</t>
        </is>
      </c>
      <c r="C5" t="inlineStr">
        <is>
          <t>rules/recon_runbook.md §3.1 / internal/data_dictionary.md §3</t>
        </is>
      </c>
      <c r="D5" t="inlineStr">
        <is>
          <t>指引要求以 wind_code 字段关联，但 2026-08 字典改版后持仓侧为 sec_code、行情侧为 instrument_id，两侧均无 wind_code 列</t>
        </is>
      </c>
      <c r="E5" t="inlineStr">
        <is>
          <t>按指引字段关联将全部失配</t>
        </is>
      </c>
      <c r="F5" s="8" t="inlineStr">
        <is>
          <t>按数据字典以 sec_code↔instrument_id 关联，有效持仓 280/280 行关联成功；指引修订建议已提（待核实）</t>
        </is>
      </c>
      <c r="G5" t="inlineStr">
        <is>
          <t>internal/data_dictionary.md §2/§3；rules/recon_runbook.md §3.1</t>
        </is>
      </c>
      <c r="H5" t="inlineStr">
        <is>
          <t>已关闭</t>
        </is>
      </c>
    </row>
    <row r="6">
      <c r="A6" t="inlineStr">
        <is>
          <t>IL-04</t>
        </is>
      </c>
      <c r="B6" t="inlineStr">
        <is>
          <t>持仓数据</t>
        </is>
      </c>
      <c r="C6" t="inlineStr">
        <is>
          <t>portfolio/holdings_2026Q3.xlsx</t>
        </is>
      </c>
      <c r="D6" t="inlineStr">
        <is>
          <t>混入 as_of≠2026-09-30 的非估值日旧记录 6 行（市值影响 25,774,234.50 元）</t>
        </is>
      </c>
      <c r="E6" t="inlineStr">
        <is>
          <t>全表合计将高估期末市值</t>
        </is>
      </c>
      <c r="F6" t="inlineStr">
        <is>
          <t>按 §2.1 估值日归属条件剔除，逐 sheet 明细见覆盖表</t>
        </is>
      </c>
      <c r="G6" t="inlineStr">
        <is>
          <t>rules/recon_runbook.md §2.1</t>
        </is>
      </c>
      <c r="H6" t="inlineStr">
        <is>
          <t>已关闭</t>
        </is>
      </c>
    </row>
    <row r="7">
      <c r="A7" t="inlineStr">
        <is>
          <t>IL-05</t>
        </is>
      </c>
      <c r="B7" t="inlineStr">
        <is>
          <t>持仓数据</t>
        </is>
      </c>
      <c r="C7" t="inlineStr">
        <is>
          <t>portfolio/holdings_2026Q3.xlsx / portfolio/security_master.csv</t>
        </is>
      </c>
      <c r="D7" t="inlineStr">
        <is>
          <t>期末导出仍含主数据非 active（matured/called）证券持仓 5 行（市值影响 25,142,250.00 元）</t>
        </is>
      </c>
      <c r="E7" t="inlineStr">
        <is>
          <t>高估市值与单一发行人集中度</t>
        </is>
      </c>
      <c r="F7" t="inlineStr">
        <is>
          <t>按 §2.2 剔除非 active 证券记录；与投资经理说明第 2 条到期/赎回信息一致</t>
        </is>
      </c>
      <c r="G7" t="inlineStr">
        <is>
          <t>rules/recon_runbook.md §2.2；internal/manager_notes.md</t>
        </is>
      </c>
      <c r="H7" t="inlineStr">
        <is>
          <t>已关闭</t>
        </is>
      </c>
    </row>
    <row r="8">
      <c r="A8" t="inlineStr">
        <is>
          <t>IL-06</t>
        </is>
      </c>
      <c r="B8" t="inlineStr">
        <is>
          <t>持仓数据</t>
        </is>
      </c>
      <c r="C8" t="inlineStr">
        <is>
          <t>portfolio/holdings_2026Q3.xlsx</t>
        </is>
      </c>
      <c r="D8" t="inlineStr">
        <is>
          <t>同账户+同证券+同数量重复上报 4 行（市值影响 11,554,917.40 元）</t>
        </is>
      </c>
      <c r="E8" t="inlineStr">
        <is>
          <t>重复计入市值</t>
        </is>
      </c>
      <c r="F8" t="inlineStr">
        <is>
          <t>按 §2.3 以 source_row_id 升序保留第一条，剔除其余 4 行</t>
        </is>
      </c>
      <c r="G8" t="inlineStr">
        <is>
          <t>rules/recon_runbook.md §2.3</t>
        </is>
      </c>
      <c r="H8" t="inlineStr">
        <is>
          <t>已关闭</t>
        </is>
      </c>
    </row>
    <row r="9">
      <c r="A9" t="inlineStr">
        <is>
          <t>IL-07</t>
        </is>
      </c>
      <c r="B9" s="8" t="inlineStr">
        <is>
          <t>限额超限</t>
        </is>
      </c>
      <c r="C9" t="inlineStr">
        <is>
          <t>portfolio/holdings_2026Q3.xlsx / internal/approval_memo_20260928.md</t>
        </is>
      </c>
      <c r="D9" t="inlineStr">
        <is>
          <t>102600003.IB（华骏集团2026年第3期中期票据）期末市值 161,214,619.60 元、占净值 12.01%，超 v3 第 4 条 10% 硬限；且决策纪要批准增持上限 11%（内部预警线 10.5%）与现行硬限不一致，实测亦超批准上限</t>
        </is>
      </c>
      <c r="E9" s="8" t="inlineStr">
        <is>
          <t>R-01 期末超限，须披露并整改；审批口径与现行制度冲突</t>
        </is>
      </c>
      <c r="F9" s="8" t="inlineStr">
        <is>
          <t>按 v3 执行：报告§四正文披露超限事实/成因/整改/时限；T+2 个工作日内提交整改计划并减持至 ≤10%；批准口径冲突提请风险管理部解释（v3 第 12 条）</t>
        </is>
      </c>
      <c r="G9" t="inlineStr">
        <is>
          <t>rules/restrictions_v3_20260901.md 第 4/9/12 条；internal/approval_memo_20260928.md</t>
        </is>
      </c>
      <c r="H9" s="8" t="inlineStr">
        <is>
          <t>处置中</t>
        </is>
      </c>
    </row>
    <row r="10">
      <c r="A10" t="inlineStr">
        <is>
          <t>IL-08</t>
        </is>
      </c>
      <c r="B10" t="inlineStr">
        <is>
          <t>制度引用</t>
        </is>
      </c>
      <c r="C10" t="inlineStr">
        <is>
          <t>rules/liquidity_policy.md 第 21 条</t>
        </is>
      </c>
      <c r="D10" t="inlineStr">
        <is>
          <t>引用「投资限制条款第七章」界定现金类资产，现行 v3 仅含第一、二、三、四章，无对应章节</t>
        </is>
      </c>
      <c r="E10" t="inlineStr">
        <is>
          <t>现金类资产定义引用悬空</t>
        </is>
      </c>
      <c r="F10" s="8" t="inlineStr">
        <is>
          <t>定义按 v3 第 7 条（含清算备付金）执行；流动性制度第 12 条与 v3 第 7 条下限一致（均 3%）；引用章节待核实</t>
        </is>
      </c>
      <c r="G10" t="inlineStr">
        <is>
          <t>rules/restrictions_v3_20260901.md 第 7 条；rules/liquidity_policy.md 第 12/21 条</t>
        </is>
      </c>
      <c r="H10" s="8" t="inlineStr">
        <is>
          <t>待核实</t>
        </is>
      </c>
    </row>
    <row r="11">
      <c r="A11" t="inlineStr">
        <is>
          <t>IL-09</t>
        </is>
      </c>
      <c r="B11" t="inlineStr">
        <is>
          <t>口径差异</t>
        </is>
      </c>
      <c r="C11" t="inlineStr">
        <is>
          <t>internal/manager_notes.md / portfolio/holdings_2026Q3.xlsx</t>
        </is>
      </c>
      <c r="D11" t="inlineStr">
        <is>
          <t>经理说明称非标「专户四笔资产」，有效持仓中 NonStdAsset 共 5 行、4 只，分布于 acct_06、acct_08</t>
        </is>
      </c>
      <c r="E11" t="inlineStr">
        <is>
          <t>账户归属表述与持仓分布不一致（报价均为 100 摊余成本，估值影响为零）</t>
        </is>
      </c>
      <c r="F11" s="8" t="inlineStr">
        <is>
          <t>按 sec_type=NonStdAsset 全量汇总测算 R-03；账户归属以持仓导出为准，说明表述待核实</t>
        </is>
      </c>
      <c r="G11" t="inlineStr">
        <is>
          <t>internal/manager_notes.md 第 3 条；internal/data_dictionary.md §2</t>
        </is>
      </c>
      <c r="H11" s="8" t="inlineStr">
        <is>
          <t>待核实</t>
        </is>
      </c>
    </row>
    <row r="12">
      <c r="A12" t="inlineStr">
        <is>
          <t>IL-10</t>
        </is>
      </c>
      <c r="B12" t="inlineStr">
        <is>
          <t>历史表页</t>
        </is>
      </c>
      <c r="C12" t="inlineStr">
        <is>
          <t>portfolio/holdings_2026Q3.xlsx（非账户 sheet 3 个：readme、q2_roll、contact）</t>
        </is>
      </c>
      <c r="D12" t="inlineStr">
        <is>
          <t>q2_roll 为已归档上季度滚动表（仅留历史链接）；readme/contact 为说明页</t>
        </is>
      </c>
      <c r="E12" t="inlineStr">
        <is>
          <t>若误作期末持仓将重复计入</t>
        </is>
      </c>
      <c r="F12" t="inlineStr">
        <is>
          <t>不纳入期末口径，仅 10 个 acct_* sheet 参与汇总</t>
        </is>
      </c>
      <c r="G12" t="inlineStr">
        <is>
          <t>工作簿 q2_roll 表内归档说明</t>
        </is>
      </c>
      <c r="H12" t="inlineStr">
        <is>
          <t>已关闭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76" customWidth="1" min="4" max="4"/>
  </cols>
  <sheetData>
    <row r="1">
      <c r="A1" s="1" t="inlineStr">
        <is>
          <t>任务拆解与完成状态</t>
        </is>
      </c>
    </row>
    <row r="2">
      <c r="A2" s="2" t="inlineStr">
        <is>
          <t>任务编号</t>
        </is>
      </c>
      <c r="B2" s="2" t="inlineStr">
        <is>
          <t>任务项</t>
        </is>
      </c>
      <c r="C2" s="2" t="inlineStr">
        <is>
          <t>状态</t>
        </is>
      </c>
      <c r="D2" s="2" t="inlineStr">
        <is>
          <t>对应交付物位置</t>
        </is>
      </c>
    </row>
    <row r="3">
      <c r="A3" t="inlineStr">
        <is>
          <t>T1</t>
        </is>
      </c>
      <c r="B3" t="inlineStr">
        <is>
          <t>材料清点（分目录+根散件与总数勾稽）</t>
        </is>
      </c>
      <c r="C3" t="inlineStr">
        <is>
          <t>完成</t>
        </is>
      </c>
      <c r="D3" t="inlineStr">
        <is>
          <t>报告§一；Coverage（总数 25=23+2）</t>
        </is>
      </c>
    </row>
    <row r="4">
      <c r="A4" t="inlineStr">
        <is>
          <t>T2</t>
        </is>
      </c>
      <c r="B4" t="inlineStr">
        <is>
          <t>持仓十个账户 sheet 全覆盖汇总</t>
        </is>
      </c>
      <c r="C4" t="inlineStr">
        <is>
          <t>完成</t>
        </is>
      </c>
      <c r="D4" t="inlineStr">
        <is>
          <t>holdings_coverage.csv；Coverage/Holdings_Summary（原始 295 行）</t>
        </is>
      </c>
    </row>
    <row r="5">
      <c r="A5" t="inlineStr">
        <is>
          <t>T3</t>
        </is>
      </c>
      <c r="B5" t="inlineStr">
        <is>
          <t>有效持仓口径（三条件顺序剔除）</t>
        </is>
      </c>
      <c r="C5" t="inlineStr">
        <is>
          <t>完成</t>
        </is>
      </c>
      <c r="D5" t="inlineStr">
        <is>
          <t>报告§三；Nav_Bridge（有效 280 行、市值 1,295,353,746.36 元）</t>
        </is>
      </c>
    </row>
    <row r="6">
      <c r="A6" t="inlineStr">
        <is>
          <t>T4</t>
        </is>
      </c>
      <c r="B6" t="inlineStr">
        <is>
          <t>行情取数与关联留痕</t>
        </is>
      </c>
      <c r="C6" t="inlineStr">
        <is>
          <t>完成</t>
        </is>
      </c>
      <c r="D6" t="inlineStr">
        <is>
          <t>Price_Join；报告§三（131→126 条，关联 280/280 行）</t>
        </is>
      </c>
    </row>
    <row r="7">
      <c r="A7" t="inlineStr">
        <is>
          <t>T5</t>
        </is>
      </c>
      <c r="B7" t="inlineStr">
        <is>
          <t>市值与净值复核推导链</t>
        </is>
      </c>
      <c r="C7" t="inlineStr">
        <is>
          <t>完成</t>
        </is>
      </c>
      <c r="D7" t="inlineStr">
        <is>
          <t>报告§二；Valuation_Recalc（净值差 0.00 元）</t>
        </is>
      </c>
    </row>
    <row r="8">
      <c r="A8" t="inlineStr">
        <is>
          <t>T6</t>
        </is>
      </c>
      <c r="B8" t="inlineStr">
        <is>
          <t>现金勾稽（对账单 vs 托管报告）</t>
        </is>
      </c>
      <c r="C8" t="inlineStr">
        <is>
          <t>完成</t>
        </is>
      </c>
      <c r="D8" t="inlineStr">
        <is>
          <t>报告§二；Nav_Bridge（差 0.00 元）</t>
        </is>
      </c>
    </row>
    <row r="9">
      <c r="A9" t="inlineStr">
        <is>
          <t>T7</t>
        </is>
      </c>
      <c r="B9" t="inlineStr">
        <is>
          <t>五项限额逐条测算（现行 v3）</t>
        </is>
      </c>
      <c r="C9" t="inlineStr">
        <is>
          <t>完成</t>
        </is>
      </c>
      <c r="D9" s="8" t="inlineStr">
        <is>
          <t>报告§四；Compliance_Check（4 合规 / 1 超限）</t>
        </is>
      </c>
    </row>
    <row r="10">
      <c r="A10" t="inlineStr">
        <is>
          <t>T8</t>
        </is>
      </c>
      <c r="B10" t="inlineStr">
        <is>
          <t>条款版本适用性说明</t>
        </is>
      </c>
      <c r="C10" t="inlineStr">
        <is>
          <t>完成</t>
        </is>
      </c>
      <c r="D10" t="inlineStr">
        <is>
          <t>报告§四；Compliance_Check</t>
        </is>
      </c>
    </row>
    <row r="11">
      <c r="A11" t="inlineStr">
        <is>
          <t>T9</t>
        </is>
      </c>
      <c r="B11" s="8" t="inlineStr">
        <is>
          <t>超限处置与披露</t>
        </is>
      </c>
      <c r="C11" t="inlineStr">
        <is>
          <t>完成（整改进行中）</t>
        </is>
      </c>
      <c r="D11" s="8" t="inlineStr">
        <is>
          <t>报告§四正文；Compliance_Check 超限处置块；整改计划 T+2 个工作日</t>
        </is>
      </c>
    </row>
    <row r="12">
      <c r="A12" t="inlineStr">
        <is>
          <t>T10</t>
        </is>
      </c>
      <c r="B12" t="inlineStr">
        <is>
          <t>上期报告重述</t>
        </is>
      </c>
      <c r="C12" t="inlineStr">
        <is>
          <t>完成</t>
        </is>
      </c>
      <c r="D12" t="inlineStr">
        <is>
          <t>报告§五；Prev_Report_Fix（4 条）</t>
        </is>
      </c>
    </row>
    <row r="13">
      <c r="A13" t="inlineStr">
        <is>
          <t>T11</t>
        </is>
      </c>
      <c r="B13" t="inlineStr">
        <is>
          <t>数据问题台账</t>
        </is>
      </c>
      <c r="C13" t="inlineStr">
        <is>
          <t>完成</t>
        </is>
      </c>
      <c r="D13" t="inlineStr">
        <is>
          <t>issue_log.csv；Issue_Log（10 条）；报告§六</t>
        </is>
      </c>
    </row>
    <row r="14">
      <c r="A14" t="inlineStr">
        <is>
          <t>T12</t>
        </is>
      </c>
      <c r="B14" t="inlineStr">
        <is>
          <t>任务拆解与完成状态</t>
        </is>
      </c>
      <c r="C14" t="inlineStr">
        <is>
          <t>完成</t>
        </is>
      </c>
      <c r="D14" t="inlineStr">
        <is>
          <t>报告§七；Task_Status</t>
        </is>
      </c>
    </row>
    <row r="15">
      <c r="A15" t="inlineStr">
        <is>
          <t>T13</t>
        </is>
      </c>
      <c r="B15" t="inlineStr">
        <is>
          <t>复合图表</t>
        </is>
      </c>
      <c r="C15" t="inlineStr">
        <is>
          <t>完成</t>
        </is>
      </c>
      <c r="D15" t="inlineStr">
        <is>
          <t>charts.png（限额对比+账户覆盖）</t>
        </is>
      </c>
    </row>
    <row r="16">
      <c r="A16" t="inlineStr">
        <is>
          <t>T14</t>
        </is>
      </c>
      <c r="B16" t="inlineStr">
        <is>
          <t>可复算脚本</t>
        </is>
      </c>
      <c r="C16" t="inlineStr">
        <is>
          <t>完成</t>
        </is>
      </c>
      <c r="D16" t="inlineStr">
        <is>
          <t>reproduce.py（本脚本，无硬编码结论）</t>
        </is>
      </c>
    </row>
    <row r="17">
      <c r="A17" t="inlineStr">
        <is>
          <t>T15</t>
        </is>
      </c>
      <c r="B17" t="inlineStr">
        <is>
          <t>报告成文（八章节、篇幅）</t>
        </is>
      </c>
      <c r="C17" t="inlineStr">
        <is>
          <t>完成</t>
        </is>
      </c>
      <c r="D17" t="inlineStr">
        <is>
          <t>operation_report.md（中文字符数见运行输出）</t>
        </is>
      </c>
    </row>
    <row r="18">
      <c r="A18" t="inlineStr">
        <is>
          <t>T16</t>
        </is>
      </c>
      <c r="B18" t="inlineStr">
        <is>
          <t>勾稽一致性自检</t>
        </is>
      </c>
      <c r="C18" t="inlineStr">
        <is>
          <t>完成</t>
        </is>
      </c>
      <c r="D18" t="inlineStr">
        <is>
          <t>reproduce.py 内置断言全部通过（文件/行数/市值/净值/现金勾稽）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6" customWidth="1" min="3" max="3"/>
    <col width="62" customWidth="1" min="4" max="4"/>
    <col width="70" customWidth="1" min="5" max="5"/>
  </cols>
  <sheetData>
    <row r="1">
      <c r="A1" s="1" t="inlineStr">
        <is>
          <t>上期报告重述（一行一条）</t>
        </is>
      </c>
    </row>
    <row r="2">
      <c r="A2" s="2" t="inlineStr">
        <is>
          <t>编号</t>
        </is>
      </c>
      <c r="B2" s="2" t="inlineStr">
        <is>
          <t>出处</t>
        </is>
      </c>
      <c r="C2" s="2" t="inlineStr">
        <is>
          <t>原表述</t>
        </is>
      </c>
      <c r="D2" s="2" t="inlineStr">
        <is>
          <t>不再适用的原因</t>
        </is>
      </c>
      <c r="E2" s="2" t="inlineStr">
        <is>
          <t>本期处置</t>
        </is>
      </c>
    </row>
    <row r="3">
      <c r="A3" t="inlineStr">
        <is>
          <t>PF-01</t>
        </is>
      </c>
      <c r="B3" t="inlineStr">
        <is>
          <t>reports/2026Q2_operation_report.md §二</t>
        </is>
      </c>
      <c r="C3" t="inlineStr">
        <is>
          <t>「本季度按2026-06-01版投资限制条款执行期末监测：单一证券集中度最高9.87%，低于12%上限；非标资产比例4.12%，低于8%上限；现金类资产比例2.86%，高于2%下限。」</t>
        </is>
      </c>
      <c r="D3" t="inlineStr">
        <is>
          <t>v2（2026-06-01 版）已被 v3（2026-09-01 生效）替代；v2 归档说明明确 2026 年三季度及以后一律执行 v3</t>
        </is>
      </c>
      <c r="E3" t="inlineStr">
        <is>
          <t>本期按 v3 限额全量重算（R-01 10%、R-02 15%、R-03 5%、R-05 3%、R-07 20%），结果见报告§四与 Compliance_Check</t>
        </is>
      </c>
    </row>
    <row r="4">
      <c r="A4" t="inlineStr">
        <is>
          <t>PF-02</t>
        </is>
      </c>
      <c r="B4" t="inlineStr">
        <is>
          <t>reports/2026Q2_operation_report.md §二</t>
        </is>
      </c>
      <c r="C4" t="inlineStr">
        <is>
          <t>「持仓汇总口径采用盘后导出明细全表合计，未区分数据所属日期，主要原因是为了与上季度报表保持一致。」</t>
        </is>
      </c>
      <c r="D4" t="inlineStr">
        <is>
          <t>与 rules/recon_runbook.md §2 有效持仓三条件（估值日归属、主数据 active、去重）不符；internal/manager_notes.md 第 4 条明确本期起不再适用</t>
        </is>
      </c>
      <c r="E4" t="inlineStr">
        <is>
          <t>本期按三条件顺序过滤：原始 295 行，剔除 6+5+4 行，有效 280 行，剔除市值合计 62,471,401.90 元，见报告§三与 Nav_Bridge</t>
        </is>
      </c>
    </row>
    <row r="5">
      <c r="A5" t="inlineStr">
        <is>
          <t>PF-03</t>
        </is>
      </c>
      <c r="B5" t="inlineStr">
        <is>
          <t>reports/2026Q2_operation_report.md §二</t>
        </is>
      </c>
      <c r="C5" t="inlineStr">
        <is>
          <t>「现金类资产比例2.86%，高于2%下限」</t>
        </is>
      </c>
      <c r="D5" t="inlineStr">
        <is>
          <t>2% 下限系 v2 第 7 条，已被 v3 第 7 条 3% 下限替代</t>
        </is>
      </c>
      <c r="E5" t="inlineStr">
        <is>
          <t>本期现金类资产比例 3.40%，不低于 3% 下限，合规</t>
        </is>
      </c>
    </row>
    <row r="6">
      <c r="A6" t="inlineStr">
        <is>
          <t>PF-04</t>
        </is>
      </c>
      <c r="B6" t="inlineStr">
        <is>
          <t>reports/2026Q1_operation_report.md §二</t>
        </is>
      </c>
      <c r="C6" t="inlineStr">
        <is>
          <t>「一季度按2026-06-01版条款（当时为草案）执行内部监测，各项指标均满足要求。」</t>
        </is>
      </c>
      <c r="D6" t="inlineStr">
        <is>
          <t>该版本在当期尚为草案且已被 v3 替代，监测依据无法自现行材料回溯核实</t>
        </is>
      </c>
      <c r="E6" s="8" t="inlineStr">
        <is>
          <t>仅作历史回溯留存，本期一律执行 v3；相关历史数值标注待核实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100" customWidth="1" min="3" max="3"/>
  </cols>
  <sheetData>
    <row r="1">
      <c r="A1" s="1" t="inlineStr">
        <is>
          <t>行情取数与关联留痕（runbook §3；数据字典 §2/§3）</t>
        </is>
      </c>
    </row>
    <row r="2">
      <c r="A2" s="2" t="inlineStr">
        <is>
          <t>项目</t>
        </is>
      </c>
      <c r="B2" s="2" t="inlineStr">
        <is>
          <t>值</t>
        </is>
      </c>
      <c r="C2" s="2" t="inlineStr">
        <is>
          <t>说明</t>
        </is>
      </c>
    </row>
    <row r="3">
      <c r="A3" t="inlineStr">
        <is>
          <t>估值日主件 valuation/price_feed_20260930.csv</t>
        </is>
      </c>
      <c r="B3" t="inlineStr">
        <is>
          <t>0 条数据</t>
        </is>
      </c>
      <c r="C3" t="inlineStr">
        <is>
          <t>传输残留空文件、不承载数据（internal/ops_email_20261008.txt）</t>
        </is>
      </c>
    </row>
    <row r="4">
      <c r="A4" t="inlineStr">
        <is>
          <t>采用行情文件</t>
        </is>
      </c>
      <c r="B4" t="inlineStr">
        <is>
          <t>data/price_feed_20260930_repush.csv</t>
        </is>
      </c>
      <c r="C4" t="inlineStr">
        <is>
          <t>数据组重推件（2026-10-08 邮件确认），README 口径优先级第 3 条</t>
        </is>
      </c>
    </row>
    <row r="5">
      <c r="A5" t="inlineStr">
        <is>
          <t>行情原始记录数</t>
        </is>
      </c>
      <c r="B5" t="n">
        <v>131</v>
      </c>
      <c r="C5" t="inlineStr">
        <is>
          <t>含批次「重推件」与「原始推送」</t>
        </is>
      </c>
    </row>
    <row r="6">
      <c r="A6" t="inlineStr">
        <is>
          <t>过滤条件</t>
        </is>
      </c>
      <c r="B6" t="inlineStr">
        <is>
          <t>trade_date = 2026-09-30</t>
        </is>
      </c>
      <c r="C6" t="inlineStr">
        <is>
          <t>runbook §3.3：多交易日取估值日当日</t>
        </is>
      </c>
    </row>
    <row r="7">
      <c r="A7" t="inlineStr">
        <is>
          <t>过滤后记录数</t>
        </is>
      </c>
      <c r="B7" t="n">
        <v>126</v>
      </c>
      <c r="C7" t="inlineStr">
        <is>
          <t>剔除前一交易日(2026-09-29)记录 5 条</t>
        </is>
      </c>
    </row>
    <row r="8">
      <c r="A8" t="inlineStr">
        <is>
          <t>关联字段</t>
        </is>
      </c>
      <c r="B8" t="inlineStr">
        <is>
          <t>持仓 sec_code ↔ 行情 instrument_id</t>
        </is>
      </c>
      <c r="C8" t="inlineStr">
        <is>
          <t>runbook §3.1 所称 wind_code 列两侧均不存在（数据字典 2026-08 改版），按字典执行并留痕</t>
        </is>
      </c>
    </row>
    <row r="9">
      <c r="A9" t="inlineStr">
        <is>
          <t>有效持仓行数 / 关联成功</t>
        </is>
      </c>
      <c r="B9" t="inlineStr">
        <is>
          <t>280 / 280</t>
        </is>
      </c>
      <c r="C9" t="inlineStr">
        <is>
          <t>持仓侧无行情 0 行</t>
        </is>
      </c>
    </row>
    <row r="10">
      <c r="A10" t="inlineStr">
        <is>
          <t>行情证券数 / 有有效持仓</t>
        </is>
      </c>
      <c r="B10" t="inlineStr">
        <is>
          <t>126 / 120</t>
        </is>
      </c>
      <c r="C10" t="inlineStr">
        <is>
          <t>行情侧无有效持仓证券 6 只</t>
        </is>
      </c>
    </row>
    <row r="11">
      <c r="A11" t="inlineStr">
        <is>
          <t>行情侧无有效持仓清单</t>
        </is>
      </c>
      <c r="B11" t="inlineStr">
        <is>
          <t>102600001.IB、102600002.IB、11260001.SH、11260002.SH、1130001.SH、260001.IB</t>
        </is>
      </c>
      <c r="C11" s="8" t="inlineStr">
        <is>
          <t>102600001.IB：非 active（matured），持仓行按 §2 剔除（drop_status）；102600002.IB：非 active（matured），持仓行按 §2 剔除（drop_status）；11260001.SH：非 active（matured），持仓行按 §2 剔除（drop_status）；11260002.SH：非 active（matured），持仓行按 §2 剔除（drop_status）；1130001.SH：持仓导出无该证券行（called，或已赎回/兑付，待核实）；260001.IB：非 active（called），持仓行按 §2 剔除（drop_status）</t>
        </is>
      </c>
    </row>
    <row r="12">
      <c r="A12" t="inlineStr">
        <is>
          <t>持仓侧无行情清单</t>
        </is>
      </c>
      <c r="B12" t="inlineStr">
        <is>
          <t>无</t>
        </is>
      </c>
      <c r="C12" t="inlineStr">
        <is>
          <t>runbook §3.4 对账差异：0 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2026-10-12T09:03:39Z</dcterms:created>
  <dcterms:modified xmlns:dcterms="http://purl.org/dc/terms/" xmlns:xsi="http://www.w3.org/2001/XMLSchema-instance" xsi:type="dcterms:W3CDTF">2026-10-12T09:03:39Z</dcterms:modified>
</cp:coreProperties>
</file>