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7a71207b6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807229a23d64066"/>
    <x:sheet xmlns:r="http://schemas.openxmlformats.org/officeDocument/2006/relationships" name="QoE" sheetId="2" r:id="R064bf14cb78f4cf8"/>
    <x:sheet xmlns:r="http://schemas.openxmlformats.org/officeDocument/2006/relationships" name="Valuation" sheetId="3" r:id="Rc4d902ae657844db"/>
    <x:sheet xmlns:r="http://schemas.openxmlformats.org/officeDocument/2006/relationships" name="Offering_Proceeds" sheetId="4" r:id="R13c87ab5f77240fd"/>
    <x:sheet xmlns:r="http://schemas.openxmlformats.org/officeDocument/2006/relationships" name="Dilution" sheetId="5" r:id="R1a18acc04570432a"/>
    <x:sheet xmlns:r="http://schemas.openxmlformats.org/officeDocument/2006/relationships" name="Pricing_Summary" sheetId="6" r:id="R39a38aa1a9874bdf"/>
    <x:sheet xmlns:r="http://schemas.openxmlformats.org/officeDocument/2006/relationships" name="Error_Audit" sheetId="7" r:id="R3db70c139f96452c"/>
    <x:sheet xmlns:r="http://schemas.openxmlformats.org/officeDocument/2006/relationships" name="Regression_Checks" sheetId="8" r:id="Rb0cdaa248b024518"/>
    <x:sheet xmlns:r="http://schemas.openxmlformats.org/officeDocument/2006/relationships" name="关键结果与判定索引" sheetId="9" r:id="R184efc4de214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#,##0.000;[Red](#,##0.000);-"/>
    <x:numFmt numFmtId="202" formatCode="$0.00;[Red]($0.00);-"/>
    <x:numFmt numFmtId="203" formatCode="0.0&quot;x&quot;"/>
    <x:numFmt numFmtId="204" formatCode="0.00&quot;x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f0c6affc54703" /><Relationship Type="http://schemas.openxmlformats.org/officeDocument/2006/relationships/theme" Target="/xl/theme/theme1.xml" Id="R1c308be556ae4e57" /><Relationship Type="http://schemas.openxmlformats.org/officeDocument/2006/relationships/sharedStrings" Target="/xl/sharedStrings.xml" Id="R814d73c83cb24b89" /><Relationship Type="http://schemas.openxmlformats.org/officeDocument/2006/relationships/worksheet" Target="/xl/worksheets/sheet1.xml" Id="R5807229a23d64066" /><Relationship Type="http://schemas.openxmlformats.org/officeDocument/2006/relationships/worksheet" Target="/xl/worksheets/sheet2.xml" Id="R064bf14cb78f4cf8" /><Relationship Type="http://schemas.openxmlformats.org/officeDocument/2006/relationships/worksheet" Target="/xl/worksheets/sheet3.xml" Id="Rc4d902ae657844db" /><Relationship Type="http://schemas.openxmlformats.org/officeDocument/2006/relationships/worksheet" Target="/xl/worksheets/sheet4.xml" Id="R13c87ab5f77240fd" /><Relationship Type="http://schemas.openxmlformats.org/officeDocument/2006/relationships/worksheet" Target="/xl/worksheets/sheet5.xml" Id="R1a18acc04570432a" /><Relationship Type="http://schemas.openxmlformats.org/officeDocument/2006/relationships/worksheet" Target="/xl/worksheets/sheet6.xml" Id="R39a38aa1a9874bdf" /><Relationship Type="http://schemas.openxmlformats.org/officeDocument/2006/relationships/worksheet" Target="/xl/worksheets/sheet7.xml" Id="R3db70c139f96452c" /><Relationship Type="http://schemas.openxmlformats.org/officeDocument/2006/relationships/worksheet" Target="/xl/worksheets/sheet8.xml" Id="Rb0cdaa248b024518" /><Relationship Type="http://schemas.openxmlformats.org/officeDocument/2006/relationships/worksheet" Target="/xl/worksheets/sheet9.xml" Id="R184efc4de2144f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6" t="str">
        <x:v>Input</x:v>
      </x:c>
      <x:c r="B1" s="6" t="str">
        <x:v>Value</x:v>
      </x:c>
      <x:c r="C1" s="6" t="str">
        <x:v>Unit</x:v>
      </x:c>
      <x:c r="D1" s="6" t="str">
        <x:v>Source</x:v>
      </x:c>
    </x:row>
    <x:row r="2" ht="15" hidden="0" customHeight="1">
      <x:c r="A2" s="23" t="str">
        <x:v>2023 Revenue</x:v>
      </x:c>
      <x:c r="B2" s="25" t="n">
        <x:v>804.029</x:v>
      </x:c>
      <x:c r="C2" s="23" t="str">
        <x:v>USD mm</x:v>
      </x:c>
      <x:c r="D2" s="23" t="str">
        <x:v>SEC-01</x:v>
      </x:c>
    </x:row>
    <x:row r="3" ht="15" hidden="0" customHeight="1">
      <x:c r="A3" s="23" t="str">
        <x:v>2023 Adjusted EBITDA</x:v>
      </x:c>
      <x:c r="B3" s="25" t="n">
        <x:v>-69.275</x:v>
      </x:c>
      <x:c r="C3" s="23" t="str">
        <x:v>USD mm</x:v>
      </x:c>
      <x:c r="D3" s="23" t="str">
        <x:v>SEC-01</x:v>
      </x:c>
    </x:row>
    <x:row r="4" ht="15" hidden="0" customHeight="1">
      <x:c r="A4" s="23" t="str">
        <x:v>2023 SBC</x:v>
      </x:c>
      <x:c r="B4" s="25" t="n">
        <x:v>49.086</x:v>
      </x:c>
      <x:c r="C4" s="23" t="str">
        <x:v>USD mm</x:v>
      </x:c>
      <x:c r="D4" s="23" t="str">
        <x:v>SEC-01</x:v>
      </x:c>
    </x:row>
    <x:row r="5" ht="15" hidden="0" customHeight="1">
      <x:c r="A5" s="23" t="str">
        <x:v>2023 FCF</x:v>
      </x:c>
      <x:c r="B5" s="25" t="n">
        <x:v>-84.838</x:v>
      </x:c>
      <x:c r="C5" s="23" t="str">
        <x:v>USD mm</x:v>
      </x:c>
      <x:c r="D5" s="23" t="str">
        <x:v>SEC-01</x:v>
      </x:c>
    </x:row>
    <x:row r="6" ht="15" hidden="0" customHeight="1">
      <x:c r="A6" s="23" t="str">
        <x:v>Cash</x:v>
      </x:c>
      <x:c r="B6" s="25" t="n">
        <x:v>401.176</x:v>
      </x:c>
      <x:c r="C6" s="23" t="str">
        <x:v>USD mm</x:v>
      </x:c>
      <x:c r="D6" s="23" t="str">
        <x:v>SEC-01</x:v>
      </x:c>
    </x:row>
    <x:row r="7" ht="15" hidden="0" customHeight="1">
      <x:c r="A7" s="23" t="str">
        <x:v>Marketable securities</x:v>
      </x:c>
      <x:c r="B7" s="25" t="n">
        <x:v>811.946</x:v>
      </x:c>
      <x:c r="C7" s="23" t="str">
        <x:v>USD mm</x:v>
      </x:c>
      <x:c r="D7" s="23" t="str">
        <x:v>SEC-01</x:v>
      </x:c>
    </x:row>
    <x:row r="8" ht="15" hidden="0" customHeight="1">
      <x:c r="A8" s="23" t="str">
        <x:v>2024E Revenue Growth</x:v>
      </x:c>
      <x:c r="B8" s="24" t="n">
        <x:v>0.22</x:v>
      </x:c>
      <x:c r="C8" s="23" t="str">
        <x:v>%</x:v>
      </x:c>
      <x:c r="D8" s="23" t="str">
        <x:v>UW-01</x:v>
      </x:c>
    </x:row>
    <x:row r="9" ht="15" hidden="0" customHeight="1">
      <x:c r="A9" s="23" t="str">
        <x:v>Peer Low</x:v>
      </x:c>
      <x:c r="B9" s="23" t="n">
        <x:v>4</x:v>
      </x:c>
      <x:c r="C9" s="23" t="str">
        <x:v>x</x:v>
      </x:c>
      <x:c r="D9" s="23" t="str">
        <x:v>UW-01</x:v>
      </x:c>
    </x:row>
    <x:row r="10" ht="15" hidden="0" customHeight="1">
      <x:c r="A10" s="23" t="str">
        <x:v>Peer Mid</x:v>
      </x:c>
      <x:c r="B10" s="23" t="n">
        <x:v>4.5</x:v>
      </x:c>
      <x:c r="C10" s="23" t="str">
        <x:v>x</x:v>
      </x:c>
      <x:c r="D10" s="23" t="str">
        <x:v>UW-01</x:v>
      </x:c>
    </x:row>
    <x:row r="11" ht="15" hidden="0" customHeight="1">
      <x:c r="A11" s="23" t="str">
        <x:v>Peer High</x:v>
      </x:c>
      <x:c r="B11" s="23" t="n">
        <x:v>5</x:v>
      </x:c>
      <x:c r="C11" s="23" t="str">
        <x:v>x</x:v>
      </x:c>
      <x:c r="D11" s="23" t="str">
        <x:v>UW-01</x:v>
      </x:c>
    </x:row>
    <x:row r="12" ht="15" hidden="0" customHeight="1">
      <x:c r="A12" s="23" t="str">
        <x:v>IPO Discount</x:v>
      </x:c>
      <x:c r="B12" s="24" t="n">
        <x:v>0.125</x:v>
      </x:c>
      <x:c r="C12" s="23" t="str">
        <x:v>%</x:v>
      </x:c>
      <x:c r="D12" s="23" t="str">
        <x:v>UW-01</x:v>
      </x:c>
    </x:row>
    <x:row r="13" ht="15" hidden="0" customHeight="1">
      <x:c r="A13" s="23" t="str">
        <x:v>Pre-money Shares</x:v>
      </x:c>
      <x:c r="B13" s="25" t="n">
        <x:v>143.716563</x:v>
      </x:c>
      <x:c r="C13" s="23" t="str">
        <x:v>mm shares</x:v>
      </x:c>
      <x:c r="D13" s="23" t="str">
        <x:v>UW-01</x:v>
      </x:c>
    </x:row>
    <x:row r="14" ht="15" hidden="0" customHeight="1">
      <x:c r="A14" s="23" t="str">
        <x:v>Primary Shares</x:v>
      </x:c>
      <x:c r="B14" s="25" t="n">
        <x:v>15.276527</x:v>
      </x:c>
      <x:c r="C14" s="23" t="str">
        <x:v>mm shares</x:v>
      </x:c>
      <x:c r="D14" s="23" t="str">
        <x:v>SEC-03</x:v>
      </x:c>
    </x:row>
    <x:row r="15" ht="15" hidden="0" customHeight="1">
      <x:c r="A15" s="23" t="str">
        <x:v>Secondary Shares</x:v>
      </x:c>
      <x:c r="B15" s="25" t="n">
        <x:v>6.723473</x:v>
      </x:c>
      <x:c r="C15" s="23" t="str">
        <x:v>mm shares</x:v>
      </x:c>
      <x:c r="D15" s="23" t="str">
        <x:v>SEC-03</x:v>
      </x:c>
    </x:row>
    <x:row r="16" ht="15" hidden="0" customHeight="1">
      <x:c r="A16" s="23" t="str">
        <x:v>Greenshoe</x:v>
      </x:c>
      <x:c r="B16" s="25" t="n">
        <x:v>3.3</x:v>
      </x:c>
      <x:c r="C16" s="23" t="str">
        <x:v>mm shares</x:v>
      </x:c>
      <x:c r="D16" s="23" t="str">
        <x:v>SEC-03</x:v>
      </x:c>
    </x:row>
    <x:row r="17" ht="15" hidden="0" customHeight="1">
      <x:c r="A17" s="23" t="str">
        <x:v>Proposed Committee Price</x:v>
      </x:c>
      <x:c r="B17" s="25" t="n">
        <x:v>34</x:v>
      </x:c>
      <x:c r="C17" s="23" t="str">
        <x:v>USD/share</x:v>
      </x:c>
      <x:c r="D17" s="23" t="str">
        <x:v>UW-01</x:v>
      </x:c>
    </x:row>
    <x:row r="18" ht="15" hidden="0" customHeight="1">
      <x:c r="A18" s="23" t="str">
        <x:v>Underwriting Fee</x:v>
      </x:c>
      <x:c r="B18" s="24" t="n">
        <x:v>0.05</x:v>
      </x:c>
      <x:c r="C18" s="23" t="str">
        <x:v>%</x:v>
      </x:c>
      <x:c r="D18" s="23" t="str">
        <x:v>UW-01</x:v>
      </x:c>
    </x:row>
    <x:row r="19" ht="15" hidden="0" customHeight="1">
      <x:c r="A19" s="23" t="str">
        <x:v>Fixed Expenses</x:v>
      </x:c>
      <x:c r="B19" s="25" t="n">
        <x:v>7</x:v>
      </x:c>
      <x:c r="C19" s="23" t="str">
        <x:v>USD mm</x:v>
      </x:c>
      <x:c r="D19" s="23" t="str">
        <x:v>UW-01</x:v>
      </x:c>
    </x:row>
    <x:row r="20" ht="15" hidden="0" customHeight="1">
      <x:c r="A20" s="23" t="str">
        <x:v>Preliminary NTBV/share at $32.50</x:v>
      </x:c>
      <x:c r="B20" s="25" t="n">
        <x:v>11.17</x:v>
      </x:c>
      <x:c r="C20" s="23" t="str">
        <x:v>USD/share</x:v>
      </x:c>
      <x:c r="D20" s="23" t="str">
        <x:v>SEC-02</x:v>
      </x:c>
    </x:row>
    <x:row r="21" ht="15" hidden="0" customHeight="1">
      <x:c r="A21" s="23" t="str">
        <x:v>Preliminary dilution/share at $32.50</x:v>
      </x:c>
      <x:c r="B21" s="25" t="n">
        <x:v>21.33</x:v>
      </x:c>
      <x:c r="C21" s="23" t="str">
        <x:v>USD/share</x:v>
      </x:c>
      <x:c r="D21" s="23" t="str">
        <x:v>SEC-02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6" t="str">
        <x:v>Metric</x:v>
      </x:c>
      <x:c r="B1" s="6" t="str">
        <x:v>Reported / Management</x:v>
      </x:c>
      <x:c r="C1" s="6" t="str">
        <x:v>Underwriting Treatment</x:v>
      </x:c>
      <x:c r="D1" s="6" t="str">
        <x:v>Underwriting Result</x:v>
      </x:c>
    </x:row>
    <x:row r="2" ht="15" hidden="0" customHeight="1">
      <x:c r="A2" s="23" t="str">
        <x:v>2023 Adjusted EBITDA</x:v>
      </x:c>
      <x:c r="B2" s="25" t="n">
        <x:f>Inputs!B3</x:f>
        <x:v>-69.275</x:v>
      </x:c>
      <x:c r="C2" s="23" t="str">
        <x:v>Start from management metric</x:v>
      </x:c>
      <x:c r="D2" s="25" t="n">
        <x:f>B2</x:f>
        <x:v>-69.275</x:v>
      </x:c>
    </x:row>
    <x:row r="3" ht="15" hidden="0" customHeight="1">
      <x:c r="A3" s="23" t="str">
        <x:v>SBC addback</x:v>
      </x:c>
      <x:c r="B3" s="25" t="n">
        <x:f>Inputs!B4</x:f>
        <x:v>49.086</x:v>
      </x:c>
      <x:c r="C3" s="23" t="str">
        <x:v>Reverse addback: recurring economic cost</x:v>
      </x:c>
      <x:c r="D3" s="25" t="n">
        <x:f>-B3</x:f>
        <x:v>-49.086</x:v>
      </x:c>
    </x:row>
    <x:row r="4" ht="15" hidden="0" customHeight="1">
      <x:c r="A4" s="23" t="str">
        <x:v>Underwriting EBITDA</x:v>
      </x:c>
      <x:c r="B4" s="25"/>
      <x:c r="C4" s="23" t="str">
        <x:v>Adjusted EBITDA - SBC addback</x:v>
      </x:c>
      <x:c r="D4" s="25" t="n">
        <x:f>D2+D3</x:f>
        <x:v>-118.361</x:v>
      </x:c>
    </x:row>
    <x:row r="5" ht="26.399999618530273" hidden="0" customHeight="1">
      <x:c r="A5" s="23" t="str">
        <x:v>2023 Free Cash Flow</x:v>
      </x:c>
      <x:c r="B5" s="25" t="n">
        <x:f>Inputs!B5</x:f>
        <x:v>-84.838</x:v>
      </x:c>
      <x:c r="C5" s="23" t="str">
        <x:v>No normalization; negative cash quality remains</x:v>
      </x:c>
      <x:c r="D5" s="25" t="n">
        <x:f>B5</x:f>
        <x:v>-84.838</x:v>
      </x:c>
    </x:row>
    <x:row r="6" ht="26.399999618530273" hidden="0" customHeight="1">
      <x:c r="A6" s="23" t="str">
        <x:v>Restructuring</x:v>
      </x:c>
      <x:c r="B6" s="25" t="n">
        <x:v>8.098</x:v>
      </x:c>
      <x:c r="C6" s="23" t="str">
        <x:v>Non-recurring; already reflected in management Adj EBITDA</x:v>
      </x:c>
      <x:c r="D6" s="25" t="n">
        <x:v>8.098</x:v>
      </x:c>
    </x:row>
    <x:row r="7" ht="26.399999618530273" hidden="0" customHeight="1">
      <x:c r="A7" s="23" t="str">
        <x:v>Valuation method</x:v>
      </x:c>
      <x:c r="B7" s="23"/>
      <x:c r="C7" s="23" t="str">
        <x:v>Use EV / 2024E Revenue because EBITDA remains negative</x:v>
      </x:c>
      <x:c r="D7" s="23" t="str">
        <x:v>EV / 2024E Revenue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6" t="str">
        <x:v>Scenario</x:v>
      </x:c>
      <x:c r="B1" s="6" t="str">
        <x:v>EV/Revenue</x:v>
      </x:c>
      <x:c r="C1" s="6" t="str">
        <x:v>2024E Revenue</x:v>
      </x:c>
      <x:c r="D1" s="6" t="str">
        <x:v>Enterprise Value</x:v>
      </x:c>
      <x:c r="E1" s="6" t="str">
        <x:v>Pre-money Equity</x:v>
      </x:c>
      <x:c r="F1" s="6" t="str">
        <x:v>Undiscounted / sh</x:v>
      </x:c>
      <x:c r="G1" s="6" t="str">
        <x:v>Offer Value / sh</x:v>
      </x:c>
      <x:c r="H1" s="6" t="str">
        <x:v>Comment</x:v>
      </x:c>
    </x:row>
    <x:row r="2" ht="15" hidden="0" customHeight="1">
      <x:c r="A2" s="23" t="str">
        <x:v>Low</x:v>
      </x:c>
      <x:c r="B2" s="27" t="n">
        <x:v>4</x:v>
      </x:c>
      <x:c r="C2" s="25" t="n">
        <x:f>Inputs!B2*(1+Inputs!B8)</x:f>
        <x:v>980.91538</x:v>
      </x:c>
      <x:c r="D2" s="25" t="n">
        <x:f>B2*C2</x:f>
        <x:v>3923.66152</x:v>
      </x:c>
      <x:c r="E2" s="25" t="n">
        <x:f>D2+Inputs!B6+Inputs!B7</x:f>
        <x:v>5136.78352</x:v>
      </x:c>
      <x:c r="F2" s="26" t="n">
        <x:f>E2/Inputs!B13</x:f>
        <x:v>35.74246010879066</x:v>
      </x:c>
      <x:c r="G2" s="26" t="n">
        <x:f>F2*(1-Inputs!B12)</x:f>
        <x:v>31.274652595191828</x:v>
      </x:c>
      <x:c r="H2" s="23" t="str"/>
    </x:row>
    <x:row r="3" ht="15" hidden="0" customHeight="1">
      <x:c r="A3" s="23" t="str">
        <x:v>Mid</x:v>
      </x:c>
      <x:c r="B3" s="27" t="n">
        <x:v>4.5</x:v>
      </x:c>
      <x:c r="C3" s="25" t="n">
        <x:f>Inputs!B2*(1+Inputs!B8)</x:f>
        <x:v>980.91538</x:v>
      </x:c>
      <x:c r="D3" s="25" t="n">
        <x:f>B3*C3</x:f>
        <x:v>4414.11921</x:v>
      </x:c>
      <x:c r="E3" s="25" t="n">
        <x:f>D3+Inputs!B6+Inputs!B7</x:f>
        <x:v>5627.24121</x:v>
      </x:c>
      <x:c r="F3" s="26" t="n">
        <x:f>E3/Inputs!B13</x:f>
        <x:v>39.15513349703471</x:v>
      </x:c>
      <x:c r="G3" s="26" t="n">
        <x:f>F3*(1-Inputs!B12)</x:f>
        <x:v>34.26074180990537</x:v>
      </x:c>
      <x:c r="H3" s="23" t="str"/>
    </x:row>
    <x:row r="4" ht="15" hidden="0" customHeight="1">
      <x:c r="A4" s="23" t="str">
        <x:v>High</x:v>
      </x:c>
      <x:c r="B4" s="27" t="n">
        <x:v>5</x:v>
      </x:c>
      <x:c r="C4" s="25" t="n">
        <x:f>Inputs!B2*(1+Inputs!B8)</x:f>
        <x:v>980.91538</x:v>
      </x:c>
      <x:c r="D4" s="25" t="n">
        <x:f>B4*C4</x:f>
        <x:v>4904.5769</x:v>
      </x:c>
      <x:c r="E4" s="25" t="n">
        <x:f>D4+Inputs!B6+Inputs!B7</x:f>
        <x:v>6117.6989</x:v>
      </x:c>
      <x:c r="F4" s="26" t="n">
        <x:f>E4/Inputs!B13</x:f>
        <x:v>42.56780688527877</x:v>
      </x:c>
      <x:c r="G4" s="26" t="n">
        <x:f>F4*(1-Inputs!B12)</x:f>
        <x:v>37.24683102461893</x:v>
      </x:c>
      <x:c r="H4" s="23" t="str"/>
    </x:row>
    <x:row r="5" ht="15" hidden="0" customHeight="1">
      <x:c r="A5" s="23" t="str"/>
      <x:c r="B5" s="23" t="str"/>
      <x:c r="C5" s="23" t="str"/>
      <x:c r="D5" s="23" t="str"/>
      <x:c r="E5" s="23" t="str"/>
      <x:c r="F5" s="23" t="str"/>
      <x:c r="G5" s="23" t="str"/>
      <x:c r="H5" s="23" t="str"/>
    </x:row>
    <x:row r="6" ht="15" hidden="0" customHeight="1">
      <x:c r="A6" s="14" t="str">
        <x:v>Cross-check</x:v>
      </x:c>
      <x:c r="B6" s="14" t="str">
        <x:v>Result</x:v>
      </x:c>
      <x:c r="C6" s="14" t="str"/>
      <x:c r="D6" s="14" t="str"/>
      <x:c r="E6" s="14" t="str"/>
      <x:c r="F6" s="14" t="str"/>
      <x:c r="G6" s="14" t="str"/>
      <x:c r="H6" s="14" t="str"/>
    </x:row>
    <x:row r="7" ht="15" hidden="0" customHeight="1">
      <x:c r="A7" s="23" t="str">
        <x:v>Committee price range</x:v>
      </x:c>
      <x:c r="B7" s="23" t="str">
        <x:f>"$"&amp;TEXT(G2,"0.00")&amp;" - $"&amp;TEXT(G4,"0.00")</x:f>
        <x:v>$31.27 - $37.25</x:v>
      </x:c>
      <x:c r="C7" s="23" t="str"/>
      <x:c r="D7" s="23" t="str"/>
      <x:c r="E7" s="23" t="str"/>
      <x:c r="F7" s="23" t="str"/>
      <x:c r="G7" s="23" t="str"/>
      <x:c r="H7" s="23" t="str"/>
    </x:row>
    <x:row r="8" ht="15" hidden="0" customHeight="1">
      <x:c r="A8" s="23" t="str">
        <x:v>Committee midpoint</x:v>
      </x:c>
      <x:c r="B8" s="26" t="n">
        <x:f>G3</x:f>
        <x:v>34.26074180990537</x:v>
      </x:c>
      <x:c r="C8" s="23" t="str"/>
      <x:c r="D8" s="23" t="str"/>
      <x:c r="E8" s="23" t="str"/>
      <x:c r="F8" s="23" t="str"/>
      <x:c r="G8" s="23" t="str"/>
      <x:c r="H8" s="23" t="str"/>
    </x:row>
    <x:row r="9" ht="15" hidden="0" customHeight="1">
      <x:c r="A9" s="23" t="str">
        <x:v>Proposed Committee Price</x:v>
      </x:c>
      <x:c r="B9" s="26" t="n">
        <x:f>Inputs!B17</x:f>
        <x:v>34</x:v>
      </x:c>
      <x:c r="C9" s="23" t="str"/>
      <x:c r="D9" s="23" t="str"/>
      <x:c r="E9" s="23" t="str"/>
      <x:c r="F9" s="23" t="str"/>
      <x:c r="G9" s="23" t="str"/>
      <x:c r="H9" s="23" t="str"/>
    </x:row>
    <x:row r="10" ht="15" hidden="0" customHeight="1">
      <x:c r="A10" s="23" t="str">
        <x:v>Proposed price vs midpoint</x:v>
      </x:c>
      <x:c r="B10" s="26" t="n">
        <x:f>B9-B8</x:f>
        <x:v>-0.2607418099053689</x:v>
      </x:c>
      <x:c r="C10" s="23" t="str"/>
      <x:c r="D10" s="23" t="str"/>
      <x:c r="E10" s="23" t="str"/>
      <x:c r="F10" s="23" t="str"/>
      <x:c r="G10" s="23" t="str"/>
      <x:c r="H10" s="23" t="str"/>
    </x:row>
    <x:row r="11" ht="15" hidden="0" customHeight="1">
      <x:c r="A11" s="23" t="str">
        <x:v>Proposed-price implied pre-money equity</x:v>
      </x:c>
      <x:c r="B11" s="25" t="n">
        <x:f>Inputs!B17*Inputs!B13</x:f>
        <x:v>4886.363142</x:v>
      </x:c>
      <x:c r="C11" s="23" t="str"/>
      <x:c r="D11" s="23" t="str"/>
      <x:c r="E11" s="23" t="str"/>
      <x:c r="F11" s="23" t="str"/>
      <x:c r="G11" s="23" t="str"/>
      <x:c r="H11" s="23" t="str"/>
    </x:row>
    <x:row r="12" ht="26.399999618530273" hidden="0" customHeight="1">
      <x:c r="A12" s="23" t="str">
        <x:v>Proposed-price implied EV / 2024E Revenue</x:v>
      </x:c>
      <x:c r="B12" s="28" t="n">
        <x:f>(B11-Inputs!B6-Inputs!B7)/C3</x:f>
        <x:v>3.7447074609024886</x:v>
      </x:c>
      <x:c r="C12" s="23" t="str"/>
      <x:c r="D12" s="23" t="str"/>
      <x:c r="E12" s="23" t="str"/>
      <x:c r="F12" s="23" t="str"/>
      <x:c r="G12" s="23" t="str"/>
      <x:c r="H12" s="2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</x:cols>
  <x:sheetData>
    <x:row r="1" ht="15" hidden="0" customHeight="1">
      <x:c r="A1" s="6" t="str">
        <x:v>Metric</x:v>
      </x:c>
      <x:c r="B1" s="6" t="str">
        <x:v>Base Offering</x:v>
      </x:c>
      <x:c r="C1" s="6" t="str">
        <x:v>Full Greenshoe</x:v>
      </x:c>
      <x:c r="D1" s="6" t="str">
        <x:v>Unit</x:v>
      </x:c>
      <x:c r="E1" s="6" t="str">
        <x:v>Comment</x:v>
      </x:c>
    </x:row>
    <x:row r="2" ht="15" hidden="0" customHeight="1">
      <x:c r="A2" s="23" t="str">
        <x:v>Primary shares</x:v>
      </x:c>
      <x:c r="B2" s="25" t="n">
        <x:f>Inputs!B14</x:f>
        <x:v>15.276527</x:v>
      </x:c>
      <x:c r="C2" s="25" t="n">
        <x:f>Inputs!B14+Inputs!B16</x:f>
        <x:v>18.576527</x:v>
      </x:c>
      <x:c r="D2" s="23" t="str">
        <x:v>mm shares</x:v>
      </x:c>
      <x:c r="E2" s="23" t="str"/>
    </x:row>
    <x:row r="3" ht="15" hidden="0" customHeight="1">
      <x:c r="A3" s="23" t="str">
        <x:v>Secondary shares</x:v>
      </x:c>
      <x:c r="B3" s="25" t="n">
        <x:f>Inputs!B15</x:f>
        <x:v>6.723473</x:v>
      </x:c>
      <x:c r="C3" s="25" t="n">
        <x:f>Inputs!B15</x:f>
        <x:v>6.723473</x:v>
      </x:c>
      <x:c r="D3" s="23" t="str">
        <x:v>mm shares</x:v>
      </x:c>
      <x:c r="E3" s="23" t="str"/>
    </x:row>
    <x:row r="4" ht="15" hidden="0" customHeight="1">
      <x:c r="A4" s="23" t="str">
        <x:v>Proposed price</x:v>
      </x:c>
      <x:c r="B4" s="25" t="n">
        <x:f>Inputs!B17</x:f>
        <x:v>34</x:v>
      </x:c>
      <x:c r="C4" s="25" t="n">
        <x:f>Inputs!B17</x:f>
        <x:v>34</x:v>
      </x:c>
      <x:c r="D4" s="23" t="str">
        <x:v>USD/share</x:v>
      </x:c>
      <x:c r="E4" s="23" t="str">
        <x:v>Committee working price</x:v>
      </x:c>
    </x:row>
    <x:row r="5" ht="15" hidden="0" customHeight="1">
      <x:c r="A5" s="23" t="str">
        <x:v>Company gross primary proceeds</x:v>
      </x:c>
      <x:c r="B5" s="25" t="n">
        <x:f>B2*B4</x:f>
        <x:v>519.401918</x:v>
      </x:c>
      <x:c r="C5" s="25" t="n">
        <x:f>C2*C4</x:f>
        <x:v>631.601918</x:v>
      </x:c>
      <x:c r="D5" s="23" t="str">
        <x:v>USD mm</x:v>
      </x:c>
      <x:c r="E5" s="23" t="str"/>
    </x:row>
    <x:row r="6" ht="15" hidden="0" customHeight="1">
      <x:c r="A6" s="23" t="str">
        <x:v>Underwriting fee</x:v>
      </x:c>
      <x:c r="B6" s="25" t="n">
        <x:f>B5*Inputs!B18</x:f>
        <x:v>25.970095900000004</x:v>
      </x:c>
      <x:c r="C6" s="25" t="n">
        <x:f>C5*Inputs!B18</x:f>
        <x:v>31.5800959</x:v>
      </x:c>
      <x:c r="D6" s="23" t="str">
        <x:v>USD mm</x:v>
      </x:c>
      <x:c r="E6" s="23" t="str"/>
    </x:row>
    <x:row r="7" ht="15" hidden="0" customHeight="1">
      <x:c r="A7" s="23" t="str">
        <x:v>Fixed company expenses</x:v>
      </x:c>
      <x:c r="B7" s="25" t="n">
        <x:f>Inputs!B19</x:f>
        <x:v>7</x:v>
      </x:c>
      <x:c r="C7" s="25" t="n">
        <x:f>Inputs!B19</x:f>
        <x:v>7</x:v>
      </x:c>
      <x:c r="D7" s="23" t="str">
        <x:v>USD mm</x:v>
      </x:c>
      <x:c r="E7" s="23" t="str"/>
    </x:row>
    <x:row r="8" ht="15" hidden="0" customHeight="1">
      <x:c r="A8" s="23" t="str">
        <x:v>Company net primary proceeds</x:v>
      </x:c>
      <x:c r="B8" s="25" t="n">
        <x:f>B5-B6-B7</x:f>
        <x:v>486.43182210000003</x:v>
      </x:c>
      <x:c r="C8" s="25" t="n">
        <x:f>C5-C6-C7</x:f>
        <x:v>593.0218221</x:v>
      </x:c>
      <x:c r="D8" s="23" t="str">
        <x:v>USD mm</x:v>
      </x:c>
      <x:c r="E8" s="23" t="str"/>
    </x:row>
    <x:row r="9" ht="15" hidden="0" customHeight="1">
      <x:c r="A9" s="23" t="str">
        <x:v>Selling holders gross proceeds</x:v>
      </x:c>
      <x:c r="B9" s="25" t="n">
        <x:f>B3*B4</x:f>
        <x:v>228.598082</x:v>
      </x:c>
      <x:c r="C9" s="25" t="n">
        <x:f>C3*C4</x:f>
        <x:v>228.598082</x:v>
      </x:c>
      <x:c r="D9" s="23" t="str">
        <x:v>USD mm</x:v>
      </x:c>
      <x:c r="E9" s="23" t="str"/>
    </x:row>
    <x:row r="10" ht="15" hidden="0" customHeight="1">
      <x:c r="A10" s="23" t="str">
        <x:v>Company receives secondary proceeds</x:v>
      </x:c>
      <x:c r="B10" s="25" t="n">
        <x:v>0</x:v>
      </x:c>
      <x:c r="C10" s="25" t="n">
        <x:v>0</x:v>
      </x:c>
      <x:c r="D10" s="23" t="str">
        <x:v>USD mm</x:v>
      </x:c>
      <x:c r="E10" s="23" t="str">
        <x:v>Secondary belongs to selling holders</x:v>
      </x:c>
    </x:row>
    <x:row r="11" ht="15" hidden="0" customHeight="1">
      <x:c r="A11" s="23" t="str">
        <x:v>Post-money cash &amp; securities</x:v>
      </x:c>
      <x:c r="B11" s="25" t="n">
        <x:f>Inputs!B6+Inputs!B7+B8</x:f>
        <x:v>1699.5538221000002</x:v>
      </x:c>
      <x:c r="C11" s="25" t="n">
        <x:f>Inputs!B6+Inputs!B7+C8</x:f>
        <x:v>1806.1438221</x:v>
      </x:c>
      <x:c r="D11" s="23" t="str">
        <x:v>USD mm</x:v>
      </x:c>
      <x:c r="E11" s="23" t="str"/>
    </x:row>
    <x:row r="12" ht="15" hidden="0" customHeight="1">
      <x:c r="A12" s="23" t="str">
        <x:v>Incremental greenshoe net proceeds</x:v>
      </x:c>
      <x:c r="B12" s="25" t="n">
        <x:v>0</x:v>
      </x:c>
      <x:c r="C12" s="25" t="n">
        <x:f>Inputs!B16*Inputs!B17*(1-Inputs!B18)</x:f>
        <x:v>106.58999999999999</x:v>
      </x:c>
      <x:c r="D12" s="23" t="str">
        <x:v>USD mm</x:v>
      </x:c>
      <x:c r="E12" s="2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15" hidden="0" customHeight="1">
      <x:c r="A1" s="6" t="str">
        <x:v>Metric</x:v>
      </x:c>
      <x:c r="B1" s="6" t="str">
        <x:v>Base Offering</x:v>
      </x:c>
      <x:c r="C1" s="6" t="str">
        <x:v>Full Greenshoe</x:v>
      </x:c>
      <x:c r="D1" s="6" t="str">
        <x:v>Unit</x:v>
      </x:c>
      <x:c r="E1" s="6" t="str">
        <x:v>Interpretation</x:v>
      </x:c>
    </x:row>
    <x:row r="2" ht="15" hidden="0" customHeight="1">
      <x:c r="A2" s="23" t="str">
        <x:v>Pre-money shares</x:v>
      </x:c>
      <x:c r="B2" s="25" t="n">
        <x:f>Inputs!B13</x:f>
        <x:v>143.716563</x:v>
      </x:c>
      <x:c r="C2" s="25" t="n">
        <x:f>Inputs!B13</x:f>
        <x:v>143.716563</x:v>
      </x:c>
      <x:c r="D2" s="23" t="str">
        <x:v>mm shares</x:v>
      </x:c>
      <x:c r="E2" s="23" t="str"/>
    </x:row>
    <x:row r="3" ht="15" hidden="0" customHeight="1">
      <x:c r="A3" s="23" t="str">
        <x:v>New primary shares</x:v>
      </x:c>
      <x:c r="B3" s="25" t="n">
        <x:f>Inputs!B14</x:f>
        <x:v>15.276527</x:v>
      </x:c>
      <x:c r="C3" s="25" t="n">
        <x:f>Inputs!B14+Inputs!B16</x:f>
        <x:v>18.576527</x:v>
      </x:c>
      <x:c r="D3" s="23" t="str">
        <x:v>mm shares</x:v>
      </x:c>
      <x:c r="E3" s="23" t="str"/>
    </x:row>
    <x:row r="4" ht="15" hidden="0" customHeight="1">
      <x:c r="A4" s="23" t="str">
        <x:v>Secondary shares</x:v>
      </x:c>
      <x:c r="B4" s="25" t="n">
        <x:f>Inputs!B15</x:f>
        <x:v>6.723473</x:v>
      </x:c>
      <x:c r="C4" s="25" t="n">
        <x:f>Inputs!B15</x:f>
        <x:v>6.723473</x:v>
      </x:c>
      <x:c r="D4" s="23" t="str">
        <x:v>mm shares</x:v>
      </x:c>
      <x:c r="E4" s="23" t="str"/>
    </x:row>
    <x:row r="5" ht="15" hidden="0" customHeight="1">
      <x:c r="A5" s="23" t="str">
        <x:v>Post-money shares</x:v>
      </x:c>
      <x:c r="B5" s="25" t="n">
        <x:f>B2+B3</x:f>
        <x:v>158.99309</x:v>
      </x:c>
      <x:c r="C5" s="25" t="n">
        <x:f>C2+C3</x:f>
        <x:v>162.29309</x:v>
      </x:c>
      <x:c r="D5" s="23" t="str">
        <x:v>mm shares</x:v>
      </x:c>
      <x:c r="E5" s="23" t="str"/>
    </x:row>
    <x:row r="6" ht="15" hidden="0" customHeight="1">
      <x:c r="A6" s="23" t="str">
        <x:v>New primary ownership %</x:v>
      </x:c>
      <x:c r="B6" s="24" t="n">
        <x:f>B3/B5</x:f>
        <x:v>0.09608296184444243</x:v>
      </x:c>
      <x:c r="C6" s="24" t="n">
        <x:f>C3/C5</x:f>
        <x:v>0.11446283387666104</x:v>
      </x:c>
      <x:c r="D6" s="23" t="str">
        <x:v>%</x:v>
      </x:c>
      <x:c r="E6" s="23" t="str"/>
    </x:row>
    <x:row r="7" ht="26.399999618530273" hidden="0" customHeight="1">
      <x:c r="A7" s="23" t="str">
        <x:v>Secondary impact on share count</x:v>
      </x:c>
      <x:c r="B7" s="25" t="n">
        <x:v>0</x:v>
      </x:c>
      <x:c r="C7" s="25" t="n">
        <x:v>0</x:v>
      </x:c>
      <x:c r="D7" s="23" t="str">
        <x:v>mm shares</x:v>
      </x:c>
      <x:c r="E7" s="23" t="str">
        <x:v>Secondary transfers ownership only</x:v>
      </x:c>
    </x:row>
    <x:row r="8" ht="15" hidden="0" customHeight="1">
      <x:c r="A8" s="23" t="str">
        <x:v>Preliminary NTBV/share at assumed $32.50</x:v>
      </x:c>
      <x:c r="B8" s="25" t="n">
        <x:f>Inputs!B20</x:f>
        <x:v>11.17</x:v>
      </x:c>
      <x:c r="C8" s="25" t="n">
        <x:f>Inputs!B20</x:f>
        <x:v>11.17</x:v>
      </x:c>
      <x:c r="D8" s="23" t="str">
        <x:v>USD/share</x:v>
      </x:c>
      <x:c r="E8" s="23" t="str">
        <x:v>Pre-cutoff SEC cross-check</x:v>
      </x:c>
    </x:row>
    <x:row r="9" ht="15" hidden="0" customHeight="1">
      <x:c r="A9" s="23" t="str">
        <x:v>Preliminary dilution/share at assumed $32.50</x:v>
      </x:c>
      <x:c r="B9" s="25" t="n">
        <x:f>Inputs!B21</x:f>
        <x:v>21.33</x:v>
      </x:c>
      <x:c r="C9" s="25" t="n">
        <x:f>Inputs!B21</x:f>
        <x:v>21.33</x:v>
      </x:c>
      <x:c r="D9" s="23" t="str">
        <x:v>USD/share</x:v>
      </x:c>
      <x:c r="E9" s="23" t="str">
        <x:v>Pre-cutoff SEC cross-check</x:v>
      </x:c>
    </x:row>
    <x:row r="10" ht="15" hidden="0" customHeight="1">
      <x:c r="A10" s="23" t="str">
        <x:v>Proposed-price post-money equity</x:v>
      </x:c>
      <x:c r="B10" s="25" t="n">
        <x:f>Inputs!B17*B5</x:f>
        <x:v>5405.76506</x:v>
      </x:c>
      <x:c r="C10" s="25" t="n">
        <x:f>Inputs!B17*C5</x:f>
        <x:v>5517.96506</x:v>
      </x:c>
      <x:c r="D10" s="23" t="str">
        <x:v>USD mm</x:v>
      </x:c>
      <x:c r="E10" s="23" t="str">
        <x:v>Analytical cross-check</x:v>
      </x:c>
    </x:row>
    <x:row r="11" ht="26.399999618530273" hidden="0" customHeight="1">
      <x:c r="A11" s="23" t="str">
        <x:v>Public filing range check</x:v>
      </x:c>
      <x:c r="B11" s="23" t="str">
        <x:v>Proposed $34 equals top of $31-$34 preliminary range</x:v>
      </x:c>
      <x:c r="C11" s="23" t="str">
        <x:v>Same</x:v>
      </x:c>
      <x:c r="D11" s="23" t="str">
        <x:v>Text</x:v>
      </x:c>
      <x:c r="E11" s="23" t="str">
        <x:v>Execution cross-check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</x:cols>
  <x:sheetData>
    <x:row r="1" ht="16.799999237060547" hidden="0" customHeight="1">
      <x:c r="A1" s="20" t="str">
        <x:v>IPO Pricing Committee Summary</x:v>
      </x:c>
      <x:c r="B1" s="20" t="str"/>
    </x:row>
    <x:row r="2" ht="15" hidden="0" customHeight="1">
      <x:c r="A2" s="23" t="str"/>
      <x:c r="B2" s="23" t="str"/>
    </x:row>
    <x:row r="3" ht="15" hidden="0" customHeight="1">
      <x:c r="A3" s="6" t="str">
        <x:v>Item</x:v>
      </x:c>
      <x:c r="B3" s="6" t="str">
        <x:v>Reference Result</x:v>
      </x:c>
    </x:row>
    <x:row r="4" ht="15" hidden="0" customHeight="1">
      <x:c r="A4" s="23" t="str">
        <x:v>2024E Revenue</x:v>
      </x:c>
      <x:c r="B4" s="25" t="n">
        <x:f>Valuation!C3</x:f>
        <x:v>980.91538</x:v>
      </x:c>
    </x:row>
    <x:row r="5" ht="15" hidden="0" customHeight="1">
      <x:c r="A5" s="23" t="str">
        <x:v>Management Adjusted EBITDA</x:v>
      </x:c>
      <x:c r="B5" s="25" t="n">
        <x:f>QoE!D2</x:f>
        <x:v>-69.275</x:v>
      </x:c>
    </x:row>
    <x:row r="6" ht="15" hidden="0" customHeight="1">
      <x:c r="A6" s="23" t="str">
        <x:v>Underwriting EBITDA</x:v>
      </x:c>
      <x:c r="B6" s="25" t="n">
        <x:f>QoE!D4</x:f>
        <x:v>-118.361</x:v>
      </x:c>
    </x:row>
    <x:row r="7" ht="15" hidden="0" customHeight="1">
      <x:c r="A7" s="23" t="str">
        <x:v>2023 FCF</x:v>
      </x:c>
      <x:c r="B7" s="25" t="n">
        <x:f>QoE!D5</x:f>
        <x:v>-84.838</x:v>
      </x:c>
    </x:row>
    <x:row r="8" ht="15" hidden="0" customHeight="1">
      <x:c r="A8" s="23" t="str">
        <x:v>Committee Offer Range</x:v>
      </x:c>
      <x:c r="B8" s="23" t="str">
        <x:f>Valuation!B7</x:f>
        <x:v>$31.27 - $37.25</x:v>
      </x:c>
    </x:row>
    <x:row r="9" ht="15" hidden="0" customHeight="1">
      <x:c r="A9" s="23" t="str">
        <x:v>Midpoint</x:v>
      </x:c>
      <x:c r="B9" s="23" t="n">
        <x:f>Valuation!B8</x:f>
        <x:v>34.26074180990537</x:v>
      </x:c>
    </x:row>
    <x:row r="10" ht="15" hidden="0" customHeight="1">
      <x:c r="A10" s="23" t="str">
        <x:v>Proposed Committee Price</x:v>
      </x:c>
      <x:c r="B10" s="23" t="n">
        <x:f>Valuation!B9</x:f>
        <x:v>34</x:v>
      </x:c>
    </x:row>
    <x:row r="11" ht="15" hidden="0" customHeight="1">
      <x:c r="A11" s="23" t="str">
        <x:v>Proposed price vs midpoint</x:v>
      </x:c>
      <x:c r="B11" s="23" t="n">
        <x:f>Valuation!B10</x:f>
        <x:v>-0.2607418099053689</x:v>
      </x:c>
    </x:row>
    <x:row r="12" ht="15" hidden="0" customHeight="1">
      <x:c r="A12" s="23" t="str">
        <x:v>Base company net primary proceeds</x:v>
      </x:c>
      <x:c r="B12" s="25" t="n">
        <x:f>Offering_Proceeds!B8</x:f>
        <x:v>486.43182210000003</x:v>
      </x:c>
    </x:row>
    <x:row r="13" ht="15" hidden="0" customHeight="1">
      <x:c r="A13" s="23" t="str">
        <x:v>Secondary proceeds to company</x:v>
      </x:c>
      <x:c r="B13" s="25" t="n">
        <x:f>Offering_Proceeds!B10</x:f>
        <x:v>0</x:v>
      </x:c>
    </x:row>
    <x:row r="14" ht="15" hidden="0" customHeight="1">
      <x:c r="A14" s="23" t="str">
        <x:v>Base post-money shares</x:v>
      </x:c>
      <x:c r="B14" s="25" t="n">
        <x:f>Dilution!B5</x:f>
        <x:v>158.99309</x:v>
      </x:c>
    </x:row>
    <x:row r="15" ht="15" hidden="0" customHeight="1">
      <x:c r="A15" s="23" t="str">
        <x:v>Full-greenshoe post-money shares</x:v>
      </x:c>
      <x:c r="B15" s="25" t="n">
        <x:f>Dilution!C5</x:f>
        <x:v>162.29309</x:v>
      </x:c>
    </x:row>
    <x:row r="16" ht="15" hidden="0" customHeight="1">
      <x:c r="A16" s="23" t="str"/>
      <x:c r="B16" s="23" t="str"/>
    </x:row>
    <x:row r="17" ht="15" hidden="0" customHeight="1">
      <x:c r="A17" s="6" t="str">
        <x:v>Committee Decision</x:v>
      </x:c>
      <x:c r="B17" s="6" t="str">
        <x:v>Result</x:v>
      </x:c>
    </x:row>
    <x:row r="18" ht="15" hidden="0" customHeight="1">
      <x:c r="A18" s="23" t="str">
        <x:v>Pricing view</x:v>
      </x:c>
      <x:c r="B18" s="23" t="str">
        <x:v>拟议$34位于supported range内，距midpoint约$0.26/share。</x:v>
      </x:c>
    </x:row>
    <x:row r="19" ht="15" hidden="0" customHeight="1">
      <x:c r="A19" s="23" t="str">
        <x:v>QoE view</x:v>
      </x:c>
      <x:c r="B19" s="23" t="str">
        <x:v>撤销SBC加回后Underwriting EBITDA仍为负，FCF亦为负。</x:v>
      </x:c>
    </x:row>
    <x:row r="20" ht="26.399999618530273" hidden="0" customHeight="1">
      <x:c r="A20" s="23" t="str">
        <x:v>Structure view</x:v>
      </x:c>
      <x:c r="B20" s="23" t="str">
        <x:v>Base已区分primary/secondary，排除greenshoe预先exercise，secondary不形成公司募集资金或新增股数。</x:v>
      </x:c>
    </x:row>
    <x:row r="21" ht="26.399999618530273" hidden="0" customHeight="1">
      <x:c r="A21" s="23" t="str">
        <x:v>Recommendation</x:v>
      </x:c>
      <x:c r="B21" s="23" t="str">
        <x:v>Proceed at $34；在memo中明确QoE风险，不因management Adjusted EBITDA改善单独上调价格。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15" hidden="0" customHeight="1">
      <x:c r="A1" s="6" t="str">
        <x:v>Issue</x:v>
      </x:c>
      <x:c r="B1" s="6" t="str">
        <x:v>Legacy treatment</x:v>
      </x:c>
      <x:c r="C1" s="6" t="str">
        <x:v>Correct treatment</x:v>
      </x:c>
      <x:c r="D1" s="6" t="str">
        <x:v>Why it matters</x:v>
      </x:c>
    </x:row>
    <x:row r="2" ht="15" hidden="0" customHeight="1">
      <x:c r="A2" s="23" t="str">
        <x:v>SBC</x:v>
      </x:c>
      <x:c r="B2" s="23" t="str">
        <x:v>Keeps SBC addback</x:v>
      </x:c>
      <x:c r="C2" s="23" t="str">
        <x:v>Reverse SBC addback</x:v>
      </x:c>
      <x:c r="D2" s="23" t="str">
        <x:v>Underwriting profitability is weaker</x:v>
      </x:c>
    </x:row>
    <x:row r="3" ht="15" hidden="0" customHeight="1">
      <x:c r="A3" s="23" t="str">
        <x:v>2024E denominator</x:v>
      </x:c>
      <x:c r="B3" s="23" t="str">
        <x:v>Uses 2023 revenue</x:v>
      </x:c>
      <x:c r="C3" s="23" t="str">
        <x:v>Use 2024E revenue</x:v>
      </x:c>
      <x:c r="D3" s="23" t="str">
        <x:v>Forward valuation denominator</x:v>
      </x:c>
    </x:row>
    <x:row r="4" ht="15" hidden="0" customHeight="1">
      <x:c r="A4" s="23" t="str">
        <x:v>IPO discount</x:v>
      </x:c>
      <x:c r="B4" s="23" t="str">
        <x:v>No execution discount</x:v>
      </x:c>
      <x:c r="C4" s="23" t="str">
        <x:v>Apply 12.5% discount</x:v>
      </x:c>
      <x:c r="D4" s="23" t="str">
        <x:v>Supported pricing range</x:v>
      </x:c>
    </x:row>
    <x:row r="5" ht="15" hidden="0" customHeight="1">
      <x:c r="A5" s="23" t="str">
        <x:v>Net cash</x:v>
      </x:c>
      <x:c r="B5" s="23" t="str">
        <x:v>Excludes marketable securities</x:v>
      </x:c>
      <x:c r="C5" s="23" t="str">
        <x:v>Include cash + marketable securities</x:v>
      </x:c>
      <x:c r="D5" s="23" t="str">
        <x:v>Pre-money equity bridge</x:v>
      </x:c>
    </x:row>
    <x:row r="6" ht="15" hidden="0" customHeight="1">
      <x:c r="A6" s="23" t="str">
        <x:v>Primary/secondary</x:v>
      </x:c>
      <x:c r="B6" s="23" t="str">
        <x:v>All 22m treated as primary</x:v>
      </x:c>
      <x:c r="C6" s="23" t="str">
        <x:v>15.2765m primary; 6.7235m secondary</x:v>
      </x:c>
      <x:c r="D6" s="23" t="str">
        <x:v>Company proceeds</x:v>
      </x:c>
    </x:row>
    <x:row r="7" ht="15" hidden="0" customHeight="1">
      <x:c r="A7" s="23" t="str">
        <x:v>Greenshoe</x:v>
      </x:c>
      <x:c r="B7" s="23" t="str">
        <x:v>Included in Base</x:v>
      </x:c>
      <x:c r="C7" s="23" t="str">
        <x:v>Exclude from Base; show full-exercise separately</x:v>
      </x:c>
      <x:c r="D7" s="23" t="str">
        <x:v>Shares / proceeds</x:v>
      </x:c>
    </x:row>
    <x:row r="8" ht="15" hidden="0" customHeight="1">
      <x:c r="A8" s="23" t="str">
        <x:v>Fees</x:v>
      </x:c>
      <x:c r="B8" s="23" t="str">
        <x:v>Applied to all shares</x:v>
      </x:c>
      <x:c r="C8" s="23" t="str">
        <x:v>Apply to company primary economics</x:v>
      </x:c>
      <x:c r="D8" s="23" t="str">
        <x:v>Net proceeds</x:v>
      </x:c>
    </x:row>
    <x:row r="9" ht="15" hidden="0" customHeight="1">
      <x:c r="A9" s="23" t="str">
        <x:v>Secondary proceeds</x:v>
      </x:c>
      <x:c r="B9" s="23" t="str">
        <x:v>Added to company cash</x:v>
      </x:c>
      <x:c r="C9" s="23" t="str">
        <x:v>0 to company</x:v>
      </x:c>
      <x:c r="D9" s="23" t="str">
        <x:v>Post-money cash</x:v>
      </x:c>
    </x:row>
    <x:row r="10" ht="15" hidden="0" customHeight="1">
      <x:c r="A10" s="23" t="str">
        <x:v>Post-money shares</x:v>
      </x:c>
      <x:c r="B10" s="23" t="str">
        <x:v>Adds secondary shares</x:v>
      </x:c>
      <x:c r="C10" s="23" t="str">
        <x:v>Only new primary shares increase count</x:v>
      </x:c>
      <x:c r="D10" s="23" t="str">
        <x:v>Dilution</x:v>
      </x:c>
    </x:row>
    <x:row r="11" ht="15" hidden="0" customHeight="1">
      <x:c r="A11" s="23" t="str">
        <x:v>Decision</x:v>
      </x:c>
      <x:c r="B11" s="23" t="str">
        <x:v>Automatically reprices upward</x:v>
      </x:c>
      <x:c r="C11" s="23" t="str">
        <x:v>Apply Committee pricing guardrails</x:v>
      </x:c>
      <x:c r="D11" s="23" t="str">
        <x:v>Recommendation discipline</x:v>
      </x:c>
    </x:row>
    <x:row r="12" ht="15" hidden="0" customHeight="1">
      <x:c r="A12" s="23" t="str">
        <x:v>Cut-off</x:v>
      </x:c>
      <x:c r="B12" s="23" t="str">
        <x:v>Uses final pricing / post-offering outcome</x:v>
      </x:c>
      <x:c r="C12" s="23" t="str">
        <x:v>Use only pre-3/20 information + internal proposed price</x:v>
      </x:c>
      <x:c r="D12" s="23" t="str">
        <x:v>Avoid hindsight bias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6" t="str">
        <x:v>Check</x:v>
      </x:c>
      <x:c r="B1" s="6" t="str">
        <x:v>Expected</x:v>
      </x:c>
      <x:c r="C1" s="6" t="str">
        <x:v>Calculated</x:v>
      </x:c>
      <x:c r="D1" s="6" t="str">
        <x:v>Status</x:v>
      </x:c>
    </x:row>
    <x:row r="2" ht="15" hidden="0" customHeight="1">
      <x:c r="A2" s="23" t="str">
        <x:v>Underwriting EBITDA</x:v>
      </x:c>
      <x:c r="B2" s="25" t="n">
        <x:v>-118.361</x:v>
      </x:c>
      <x:c r="C2" s="25" t="n">
        <x:f>QoE!D4</x:f>
        <x:v>-118.361</x:v>
      </x:c>
      <x:c r="D2" s="23" t="str">
        <x:f>IF(ABS(B2-C2)&lt;0.0005,"PASS","FAIL")</x:f>
        <x:v>PASS</x:v>
      </x:c>
    </x:row>
    <x:row r="3" ht="15" hidden="0" customHeight="1">
      <x:c r="A3" s="23" t="str">
        <x:v>2024E Revenue</x:v>
      </x:c>
      <x:c r="B3" s="25" t="n">
        <x:v>980.91538</x:v>
      </x:c>
      <x:c r="C3" s="25" t="n">
        <x:f>Valuation!C3</x:f>
        <x:v>980.91538</x:v>
      </x:c>
      <x:c r="D3" s="23" t="str">
        <x:f>IF(ABS(B3-C3)&lt;0.0005,"PASS","FAIL")</x:f>
        <x:v>PASS</x:v>
      </x:c>
    </x:row>
    <x:row r="4" ht="15" hidden="0" customHeight="1">
      <x:c r="A4" s="23" t="str">
        <x:v>Low Offer Value</x:v>
      </x:c>
      <x:c r="B4" s="25" t="n">
        <x:v>31.274652595191828</x:v>
      </x:c>
      <x:c r="C4" s="25" t="n">
        <x:f>Valuation!G2</x:f>
        <x:v>31.274652595191828</x:v>
      </x:c>
      <x:c r="D4" s="23" t="str">
        <x:f>IF(ABS(B4-C4)&lt;0.0005,"PASS","FAIL")</x:f>
        <x:v>PASS</x:v>
      </x:c>
    </x:row>
    <x:row r="5" ht="15" hidden="0" customHeight="1">
      <x:c r="A5" s="23" t="str">
        <x:v>Mid Offer Value</x:v>
      </x:c>
      <x:c r="B5" s="25" t="n">
        <x:v>34.26074180990537</x:v>
      </x:c>
      <x:c r="C5" s="25" t="n">
        <x:f>Valuation!G3</x:f>
        <x:v>34.26074180990537</x:v>
      </x:c>
      <x:c r="D5" s="23" t="str">
        <x:f>IF(ABS(B5-C5)&lt;0.0005,"PASS","FAIL")</x:f>
        <x:v>PASS</x:v>
      </x:c>
    </x:row>
    <x:row r="6" ht="15" hidden="0" customHeight="1">
      <x:c r="A6" s="23" t="str">
        <x:v>High Offer Value</x:v>
      </x:c>
      <x:c r="B6" s="25" t="n">
        <x:v>37.24683102461893</x:v>
      </x:c>
      <x:c r="C6" s="25" t="n">
        <x:f>Valuation!G4</x:f>
        <x:v>37.24683102461893</x:v>
      </x:c>
      <x:c r="D6" s="23" t="str">
        <x:f>IF(ABS(B6-C6)&lt;0.0005,"PASS","FAIL")</x:f>
        <x:v>PASS</x:v>
      </x:c>
    </x:row>
    <x:row r="7" ht="15" hidden="0" customHeight="1">
      <x:c r="A7" s="23" t="str">
        <x:v>Base Net Primary Proceeds</x:v>
      </x:c>
      <x:c r="B7" s="25" t="n">
        <x:v>486.4318221</x:v>
      </x:c>
      <x:c r="C7" s="25" t="n">
        <x:f>Offering_Proceeds!B8</x:f>
        <x:v>486.43182210000003</x:v>
      </x:c>
      <x:c r="D7" s="23" t="str">
        <x:f>IF(ABS(B7-C7)&lt;0.0005,"PASS","FAIL")</x:f>
        <x:v>PASS</x:v>
      </x:c>
    </x:row>
    <x:row r="8" ht="15" hidden="0" customHeight="1">
      <x:c r="A8" s="23" t="str">
        <x:v>Secondary Company Proceeds</x:v>
      </x:c>
      <x:c r="B8" s="25" t="n">
        <x:v>0</x:v>
      </x:c>
      <x:c r="C8" s="25" t="n">
        <x:f>Offering_Proceeds!B10</x:f>
        <x:v>0</x:v>
      </x:c>
      <x:c r="D8" s="23" t="str">
        <x:f>IF(ABS(B8-C8)&lt;0.0005,"PASS","FAIL")</x:f>
        <x:v>PASS</x:v>
      </x:c>
    </x:row>
    <x:row r="9" ht="15" hidden="0" customHeight="1">
      <x:c r="A9" s="23" t="str">
        <x:v>Base Post-money Shares</x:v>
      </x:c>
      <x:c r="B9" s="25" t="n">
        <x:v>158.99309</x:v>
      </x:c>
      <x:c r="C9" s="25" t="n">
        <x:f>Dilution!B5</x:f>
        <x:v>158.99309</x:v>
      </x:c>
      <x:c r="D9" s="23" t="str">
        <x:f>IF(ABS(B9-C9)&lt;0.0005,"PASS","FAIL")</x:f>
        <x:v>PASS</x:v>
      </x:c>
    </x:row>
    <x:row r="10" ht="15" hidden="0" customHeight="1">
      <x:c r="A10" s="23" t="str">
        <x:v>Full Greenshoe Post-money Shares</x:v>
      </x:c>
      <x:c r="B10" s="25" t="n">
        <x:v>162.29309</x:v>
      </x:c>
      <x:c r="C10" s="25" t="n">
        <x:f>Dilution!C5</x:f>
        <x:v>162.29309</x:v>
      </x:c>
      <x:c r="D10" s="23" t="str">
        <x:f>IF(ABS(B10-C10)&lt;0.0005,"PASS","FAIL")</x:f>
        <x:v>PASS</x:v>
      </x:c>
    </x:row>
    <x:row r="11" ht="15" hidden="0" customHeight="1">
      <x:c r="A11" s="23" t="str">
        <x:v>Decision</x:v>
      </x:c>
      <x:c r="B11" s="23" t="str">
        <x:v>Proceed at $34</x:v>
      </x:c>
      <x:c r="C11" s="23" t="str">
        <x:f>IF(LEFT(Pricing_Summary!B21,14)="Proceed at $34","Proceed at $34",Pricing_Summary!B21)</x:f>
        <x:v>Proceed at $34</x:v>
      </x:c>
      <x:c r="D11" s="23" t="str">
        <x:f>IF(B11=C11,"PASS","FAIL")</x:f>
        <x:v>PASS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44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15" hidden="0" customHeight="1">
      <x:c r="A1" s="6" t="str">
        <x:v>编号</x:v>
      </x:c>
      <x:c r="B1" s="6" t="str">
        <x:v>模块</x:v>
      </x:c>
      <x:c r="C1" s="6" t="str">
        <x:v>参考结果</x:v>
      </x:c>
      <x:c r="D1" s="6" t="str">
        <x:v>主证据/工作表</x:v>
      </x:c>
      <x:c r="E1" s="6" t="str">
        <x:v>可接受处理</x:v>
      </x:c>
      <x:c r="F1" s="6" t="str">
        <x:v>主要复核风险</x:v>
      </x:c>
      <x:c r="G1" s="6" t="str">
        <x:v>业务含义</x:v>
      </x:c>
    </x:row>
    <x:row r="2" ht="26.399999618530273" hidden="0" customHeight="1">
      <x:c r="A2" s="23" t="n">
        <x:v>1</x:v>
      </x:c>
      <x:c r="B2" s="23" t="str">
        <x:v>Cut-off</x:v>
      </x:c>
      <x:c r="C2" s="23" t="str">
        <x:v>仅使用2024-03-20前公开信息；$34为内部拟议价格，不是未来实际结果</x:v>
      </x:c>
      <x:c r="D2" s="23" t="str">
        <x:v>README / Source_Index / Committee_Policy</x:v>
      </x:c>
      <x:c r="E2" s="23" t="str">
        <x:v>等价的信息集冻结方式</x:v>
      </x:c>
      <x:c r="F2" s="23" t="str">
        <x:v>使用Final Prospectus或后市表现反推</x:v>
      </x:c>
      <x:c r="G2" s="23" t="str">
        <x:v>避免hindsight bias</x:v>
      </x:c>
    </x:row>
    <x:row r="3" ht="15" hidden="0" customHeight="1">
      <x:c r="A3" s="23" t="n">
        <x:v>2</x:v>
      </x:c>
      <x:c r="B3" s="23" t="str">
        <x:v>QoE</x:v>
      </x:c>
      <x:c r="C3" s="23" t="str">
        <x:v>Underwriting EBITDA=-118.361mm</x:v>
      </x:c>
      <x:c r="D3" s="23" t="str">
        <x:v>QoE</x:v>
      </x:c>
      <x:c r="E3" s="23" t="str">
        <x:v>等价QoE重构</x:v>
      </x:c>
      <x:c r="F3" s="23" t="str">
        <x:v>继续保留SBC加回</x:v>
      </x:c>
      <x:c r="G3" s="23" t="str">
        <x:v>盈利质量弱于管理层口径</x:v>
      </x:c>
    </x:row>
    <x:row r="4" ht="15" hidden="0" customHeight="1">
      <x:c r="A4" s="23" t="n">
        <x:v>3</x:v>
      </x:c>
      <x:c r="B4" s="23" t="str">
        <x:v>Forecast</x:v>
      </x:c>
      <x:c r="C4" s="23" t="str">
        <x:v>2024E Revenue=980.915mm</x:v>
      </x:c>
      <x:c r="D4" s="23" t="str">
        <x:v>Valuation</x:v>
      </x:c>
      <x:c r="E4" s="23" t="str">
        <x:v>同22%增长假设</x:v>
      </x:c>
      <x:c r="F4" s="23" t="str">
        <x:v>沿用2023收入作为估值分母</x:v>
      </x:c>
      <x:c r="G4" s="23" t="str">
        <x:v>使用forward denominator</x:v>
      </x:c>
    </x:row>
    <x:row r="5" ht="15" hidden="0" customHeight="1">
      <x:c r="A5" s="23" t="n">
        <x:v>4</x:v>
      </x:c>
      <x:c r="B5" s="23" t="str">
        <x:v>Pricing</x:v>
      </x:c>
      <x:c r="C5" s="23" t="str">
        <x:v>Range≈$31.27-$37.25；midpoint≈$34.26</x:v>
      </x:c>
      <x:c r="D5" s="23" t="str">
        <x:v>Valuation</x:v>
      </x:c>
      <x:c r="E5" s="23" t="str">
        <x:v>合理四舍五入</x:v>
      </x:c>
      <x:c r="F5" s="23" t="str">
        <x:v>遗漏IPO discount</x:v>
      </x:c>
      <x:c r="G5" s="23" t="str">
        <x:v>判断拟议$34是否可接受</x:v>
      </x:c>
    </x:row>
    <x:row r="6" ht="15" hidden="0" customHeight="1">
      <x:c r="A6" s="23" t="n">
        <x:v>5</x:v>
      </x:c>
      <x:c r="B6" s="23" t="str">
        <x:v>Primary</x:v>
      </x:c>
      <x:c r="C6" s="23" t="str">
        <x:v>Base gross primary≈519.402mm</x:v>
      </x:c>
      <x:c r="D6" s="23" t="str">
        <x:v>Offering_Proceeds</x:v>
      </x:c>
      <x:c r="E6" s="23" t="str">
        <x:v>等价募集资金公式</x:v>
      </x:c>
      <x:c r="F6" s="23" t="str">
        <x:v>将secondary计入公司融资</x:v>
      </x:c>
      <x:c r="G6" s="23" t="str">
        <x:v>公司实际募集规模</x:v>
      </x:c>
    </x:row>
    <x:row r="7" ht="15" hidden="0" customHeight="1">
      <x:c r="A7" s="23" t="n">
        <x:v>6</x:v>
      </x:c>
      <x:c r="B7" s="23" t="str">
        <x:v>Net proceeds</x:v>
      </x:c>
      <x:c r="C7" s="23" t="str">
        <x:v>Base net primary≈486.432mm</x:v>
      </x:c>
      <x:c r="D7" s="23" t="str">
        <x:v>Offering_Proceeds</x:v>
      </x:c>
      <x:c r="E7" s="23" t="str">
        <x:v>±0.1mm</x:v>
      </x:c>
      <x:c r="F7" s="23" t="str">
        <x:v>费用口径错误</x:v>
      </x:c>
      <x:c r="G7" s="23" t="str">
        <x:v>post-money cash</x:v>
      </x:c>
    </x:row>
    <x:row r="8" ht="15" hidden="0" customHeight="1">
      <x:c r="A8" s="23" t="n">
        <x:v>7</x:v>
      </x:c>
      <x:c r="B8" s="23" t="str">
        <x:v>Share bridge</x:v>
      </x:c>
      <x:c r="C8" s="23" t="str">
        <x:v>Base post-money shares≈158.993mm</x:v>
      </x:c>
      <x:c r="D8" s="23" t="str">
        <x:v>Dilution</x:v>
      </x:c>
      <x:c r="E8" s="23" t="str">
        <x:v>等价股本桥</x:v>
      </x:c>
      <x:c r="F8" s="23" t="str">
        <x:v>将secondary加进总股数</x:v>
      </x:c>
      <x:c r="G8" s="23" t="str">
        <x:v>稀释/市值</x:v>
      </x:c>
    </x:row>
    <x:row r="9" ht="15" hidden="0" customHeight="1">
      <x:c r="A9" s="23" t="n">
        <x:v>8</x:v>
      </x:c>
      <x:c r="B9" s="23" t="str">
        <x:v>Greenshoe</x:v>
      </x:c>
      <x:c r="C9" s="23" t="str">
        <x:v>Base排除；full exercise≈162.293m shares</x:v>
      </x:c>
      <x:c r="D9" s="23" t="str">
        <x:v>Dilution</x:v>
      </x:c>
      <x:c r="E9" s="23" t="str">
        <x:v>单列full-exercise情景</x:v>
      </x:c>
      <x:c r="F9" s="23" t="str">
        <x:v>直接并入Base</x:v>
      </x:c>
      <x:c r="G9" s="23" t="str">
        <x:v>发行状态处理</x:v>
      </x:c>
    </x:row>
    <x:row r="10" ht="26.399999618530273" hidden="0" customHeight="1">
      <x:c r="A10" s="23" t="n">
        <x:v>9</x:v>
      </x:c>
      <x:c r="B10" s="23" t="str">
        <x:v>Decision</x:v>
      </x:c>
      <x:c r="C10" s="23" t="str">
        <x:v>Proceed at $34；同时披露负QoE</x:v>
      </x:c>
      <x:c r="D10" s="23" t="str">
        <x:v>Pricing_Summary</x:v>
      </x:c>
      <x:c r="E10" s="23" t="str">
        <x:v>语义等价</x:v>
      </x:c>
      <x:c r="F10" s="23" t="str">
        <x:v>把$34当未来actual或只看non-GAAP</x:v>
      </x:c>
      <x:c r="G10" s="23" t="str">
        <x:v>可执行定价建议</x:v>
      </x:c>
    </x:row>
  </x:sheetData>
  <x:pageMargins left="0.7" right="0.7" top="0.75" bottom="0.75" header="0.3" footer="0.3"/>
</x:worksheet>
</file>